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Cover" sheetId="1" state="visible" r:id="rId1"/>
    <sheet xmlns:r="http://schemas.openxmlformats.org/officeDocument/2006/relationships" name="🧪 All Test Cases" sheetId="2" state="visible" r:id="rId2"/>
    <sheet xmlns:r="http://schemas.openxmlformats.org/officeDocument/2006/relationships" name="📊 Execution Tracker" sheetId="3" state="visible" r:id="rId3"/>
    <sheet xmlns:r="http://schemas.openxmlformats.org/officeDocument/2006/relationships" name="📈 Test Summary" sheetId="4" state="visible" r:id="rId4"/>
    <sheet xmlns:r="http://schemas.openxmlformats.org/officeDocument/2006/relationships" name="📦 Test Data" sheetId="5" state="visible" r:id="rId5"/>
    <sheet xmlns:r="http://schemas.openxmlformats.org/officeDocument/2006/relationships" name="🐛 Defect Log" sheetId="6" state="visible" r:id="rId6"/>
    <sheet xmlns:r="http://schemas.openxmlformats.org/officeDocument/2006/relationships" name="01 — Auth" sheetId="7" state="visible" r:id="rId7"/>
    <sheet xmlns:r="http://schemas.openxmlformats.org/officeDocument/2006/relationships" name="02 — Lot Mgmt" sheetId="8" state="visible" r:id="rId8"/>
    <sheet xmlns:r="http://schemas.openxmlformats.org/officeDocument/2006/relationships" name="03 — IQC" sheetId="9" state="visible" r:id="rId9"/>
    <sheet xmlns:r="http://schemas.openxmlformats.org/officeDocument/2006/relationships" name="04 — Stock In" sheetId="10" state="visible" r:id="rId10"/>
    <sheet xmlns:r="http://schemas.openxmlformats.org/officeDocument/2006/relationships" name="05 — Repair" sheetId="11" state="visible" r:id="rId11"/>
    <sheet xmlns:r="http://schemas.openxmlformats.org/officeDocument/2006/relationships" name="06 — QC Check" sheetId="12" state="visible" r:id="rId12"/>
    <sheet xmlns:r="http://schemas.openxmlformats.org/officeDocument/2006/relationships" name="07 — Cosmetic" sheetId="13" state="visible" r:id="rId13"/>
    <sheet xmlns:r="http://schemas.openxmlformats.org/officeDocument/2006/relationships" name="08 — Sales" sheetId="14" state="visible" r:id="rId14"/>
    <sheet xmlns:r="http://schemas.openxmlformats.org/officeDocument/2006/relationships" name="09 — Returns" sheetId="15" state="visible" r:id="rId15"/>
    <sheet xmlns:r="http://schemas.openxmlformats.org/officeDocument/2006/relationships" name="10 — Spare Parts" sheetId="16" state="visible" r:id="rId16"/>
    <sheet xmlns:r="http://schemas.openxmlformats.org/officeDocument/2006/relationships" name="11 — RAM" sheetId="17" state="visible" r:id="rId17"/>
    <sheet xmlns:r="http://schemas.openxmlformats.org/officeDocument/2006/relationships" name="12 — Bulk Upload" sheetId="18" state="visible" r:id="rId18"/>
    <sheet xmlns:r="http://schemas.openxmlformats.org/officeDocument/2006/relationships" name="13 — Master Data" sheetId="19" state="visible" r:id="rId19"/>
    <sheet xmlns:r="http://schemas.openxmlformats.org/officeDocument/2006/relationships" name="14 — Admin" sheetId="20" state="visible" r:id="rId20"/>
    <sheet xmlns:r="http://schemas.openxmlformats.org/officeDocument/2006/relationships" name="15 — Reports" sheetId="21" state="visible" r:id="rId21"/>
    <sheet xmlns:r="http://schemas.openxmlformats.org/officeDocument/2006/relationships" name="16 — Security" sheetId="22" state="visible" r:id="rId22"/>
  </sheets>
  <definedNames>
    <definedName name="_xlnm._FilterDatabase" localSheetId="1" hidden="1">'🧪 All Test Cases'!$A$1:$L$1</definedName>
    <definedName name="_xlnm._FilterDatabase" localSheetId="2" hidden="1">'📊 Execution Tracker'!$A$1:$I$1</definedName>
    <definedName name="_xlnm._FilterDatabase" localSheetId="4" hidden="1">'📦 Test Data'!$A$1:$D$1</definedName>
    <definedName name="_xlnm._FilterDatabase" localSheetId="5" hidden="1">'🐛 Defect Log'!$A$1:$N$1</definedName>
    <definedName name="_xlnm._FilterDatabase" localSheetId="6" hidden="1">'01 — Auth'!$A$2:$L$2</definedName>
    <definedName name="_xlnm._FilterDatabase" localSheetId="7" hidden="1">'02 — Lot Mgmt'!$A$2:$L$2</definedName>
    <definedName name="_xlnm._FilterDatabase" localSheetId="8" hidden="1">'03 — IQC'!$A$2:$L$2</definedName>
    <definedName name="_xlnm._FilterDatabase" localSheetId="9" hidden="1">'04 — Stock In'!$A$2:$L$2</definedName>
    <definedName name="_xlnm._FilterDatabase" localSheetId="10" hidden="1">'05 — Repair'!$A$2:$L$2</definedName>
    <definedName name="_xlnm._FilterDatabase" localSheetId="11" hidden="1">'06 — QC Check'!$A$2:$L$2</definedName>
    <definedName name="_xlnm._FilterDatabase" localSheetId="12" hidden="1">'07 — Cosmetic'!$A$2:$L$2</definedName>
    <definedName name="_xlnm._FilterDatabase" localSheetId="13" hidden="1">'08 — Sales'!$A$2:$L$2</definedName>
    <definedName name="_xlnm._FilterDatabase" localSheetId="14" hidden="1">'09 — Returns'!$A$2:$L$2</definedName>
    <definedName name="_xlnm._FilterDatabase" localSheetId="15" hidden="1">'10 — Spare Parts'!$A$2:$L$2</definedName>
    <definedName name="_xlnm._FilterDatabase" localSheetId="16" hidden="1">'11 — RAM'!$A$2:$L$2</definedName>
    <definedName name="_xlnm._FilterDatabase" localSheetId="17" hidden="1">'12 — Bulk Upload'!$A$2:$L$2</definedName>
    <definedName name="_xlnm._FilterDatabase" localSheetId="18" hidden="1">'13 — Master Data'!$A$2:$L$2</definedName>
    <definedName name="_xlnm._FilterDatabase" localSheetId="19" hidden="1">'14 — Admin'!$A$2:$L$2</definedName>
    <definedName name="_xlnm._FilterDatabase" localSheetId="20" hidden="1">'15 — Reports'!$A$2:$L$2</definedName>
    <definedName name="_xlnm._FilterDatabase" localSheetId="21" hidden="1">'16 — Security'!$A$2:$L$2</definedName>
  </definedNames>
  <calcPr calcId="124519" fullCalcOnLoad="1"/>
</workbook>
</file>

<file path=xl/styles.xml><?xml version="1.0" encoding="utf-8"?>
<styleSheet xmlns="http://schemas.openxmlformats.org/spreadsheetml/2006/main">
  <numFmts count="1">
    <numFmt numFmtId="164" formatCode="0.0&quot;%&quot;"/>
  </numFmts>
  <fonts count="16">
    <font>
      <name val="Calibri"/>
      <family val="2"/>
      <color theme="1"/>
      <sz val="11"/>
      <scheme val="minor"/>
    </font>
    <font>
      <name val="Arial"/>
      <b val="1"/>
      <color rgb="00FFFFFF"/>
      <sz val="22"/>
    </font>
    <font>
      <name val="Arial"/>
      <b val="1"/>
      <color rgb="00FFFFFF"/>
      <sz val="14"/>
    </font>
    <font>
      <name val="Arial"/>
      <color rgb="00000000"/>
      <sz val="11"/>
    </font>
    <font>
      <name val="Arial"/>
      <b val="1"/>
      <color rgb="00FFFFFF"/>
      <sz val="12"/>
    </font>
    <font>
      <name val="Arial"/>
      <b val="1"/>
      <color rgb="001F4E79"/>
      <sz val="10"/>
    </font>
    <font>
      <name val="Arial"/>
      <color rgb="00000000"/>
      <sz val="10"/>
    </font>
    <font>
      <name val="Arial"/>
      <b val="1"/>
      <color rgb="00FFFFFF"/>
      <sz val="10"/>
    </font>
    <font>
      <name val="Arial"/>
      <b val="1"/>
      <color rgb="00843C0C"/>
      <sz val="10"/>
    </font>
    <font>
      <name val="Arial"/>
      <b val="1"/>
      <color rgb="007D6608"/>
      <sz val="10"/>
    </font>
    <font>
      <name val="Arial"/>
      <color rgb="001F4E79"/>
      <sz val="10"/>
    </font>
    <font>
      <name val="Arial"/>
      <b val="1"/>
      <color rgb="00FFFFFF"/>
      <sz val="18"/>
    </font>
    <font>
      <name val="Arial"/>
      <b val="1"/>
      <color rgb="00FFFFFF"/>
      <sz val="11"/>
    </font>
    <font>
      <name val="Arial"/>
      <b val="1"/>
      <color rgb="001F4E79"/>
      <sz val="11"/>
    </font>
    <font>
      <name val="Arial"/>
      <b val="1"/>
      <color rgb="00375623"/>
      <sz val="10"/>
    </font>
    <font>
      <name val="Arial"/>
      <color rgb="00375623"/>
      <sz val="10"/>
    </font>
  </fonts>
  <fills count="14">
    <fill>
      <patternFill/>
    </fill>
    <fill>
      <patternFill patternType="gray125"/>
    </fill>
    <fill>
      <patternFill patternType="solid">
        <fgColor rgb="001F4E79"/>
      </patternFill>
    </fill>
    <fill>
      <patternFill patternType="solid">
        <fgColor rgb="002E75B6"/>
      </patternFill>
    </fill>
    <fill>
      <patternFill patternType="solid">
        <fgColor rgb="00F2F2F2"/>
      </patternFill>
    </fill>
    <fill>
      <patternFill patternType="solid">
        <fgColor rgb="00D5E8F0"/>
      </patternFill>
    </fill>
    <fill>
      <patternFill patternType="solid">
        <fgColor rgb="00FFFFFF"/>
      </patternFill>
    </fill>
    <fill>
      <patternFill patternType="solid">
        <fgColor rgb="000F4C5C"/>
      </patternFill>
    </fill>
    <fill>
      <patternFill patternType="solid">
        <fgColor rgb="00FCE4D6"/>
      </patternFill>
    </fill>
    <fill>
      <patternFill patternType="solid">
        <fgColor rgb="00FFF2CC"/>
      </patternFill>
    </fill>
    <fill>
      <patternFill patternType="solid">
        <fgColor rgb="00E2EFDA"/>
      </patternFill>
    </fill>
    <fill>
      <patternFill patternType="solid">
        <fgColor rgb="00E8D5F0"/>
      </patternFill>
    </fill>
    <fill>
      <patternFill patternType="solid">
        <fgColor rgb="00D9D9D9"/>
      </patternFill>
    </fill>
    <fill>
      <patternFill patternType="solid">
        <fgColor rgb="00843C0C"/>
      </patternFill>
    </fill>
  </fills>
  <borders count="6">
    <border>
      <left/>
      <right/>
      <top/>
      <bottom/>
      <diagonal/>
    </border>
    <border>
      <left style="thin">
        <color rgb="00AAAAAA"/>
      </left>
      <right style="thin">
        <color rgb="00AAAAAA"/>
      </right>
      <top style="thin">
        <color rgb="00AAAAAA"/>
      </top>
      <bottom style="thin">
        <color rgb="00AAAAAA"/>
      </bottom>
    </border>
    <border>
      <left/>
      <right/>
      <top style="thin">
        <color rgb="00AAAAAA"/>
      </top>
      <bottom/>
      <diagonal/>
    </border>
    <border>
      <left/>
      <right style="thin">
        <color rgb="00AAAAAA"/>
      </right>
      <top style="thin">
        <color rgb="00AAAAAA"/>
      </top>
      <bottom/>
      <diagonal/>
    </border>
    <border>
      <left/>
      <right style="thin">
        <color rgb="00AAAAAA"/>
      </right>
      <top style="thin">
        <color rgb="00AAAAAA"/>
      </top>
      <bottom style="thin">
        <color rgb="00AAAAAA"/>
      </bottom>
      <diagonal/>
    </border>
    <border>
      <left/>
      <right/>
      <top style="thin">
        <color rgb="00AAAAAA"/>
      </top>
      <bottom style="thin">
        <color rgb="00AAAAAA"/>
      </bottom>
      <diagonal/>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wrapText="1"/>
    </xf>
    <xf numFmtId="0" fontId="4" fillId="2" borderId="0" applyAlignment="1" pivotButton="0" quotePrefix="0" xfId="0">
      <alignment horizontal="left" vertical="center" wrapText="1"/>
    </xf>
    <xf numFmtId="0" fontId="5" fillId="5" borderId="1" applyAlignment="1" pivotButton="0" quotePrefix="0" xfId="0">
      <alignment horizontal="left" vertical="center" wrapText="1"/>
    </xf>
    <xf numFmtId="0" fontId="0" fillId="0" borderId="4" pivotButton="0" quotePrefix="0" xfId="0"/>
    <xf numFmtId="0" fontId="6" fillId="6" borderId="1" applyAlignment="1" pivotButton="0" quotePrefix="0" xfId="0">
      <alignment horizontal="left" vertical="center" wrapText="1"/>
    </xf>
    <xf numFmtId="0" fontId="0" fillId="0" borderId="5" pivotButton="0" quotePrefix="0" xfId="0"/>
    <xf numFmtId="0" fontId="4" fillId="7" borderId="0" applyAlignment="1" pivotButton="0" quotePrefix="0" xfId="0">
      <alignment horizontal="left" vertical="center" wrapText="1"/>
    </xf>
    <xf numFmtId="0" fontId="7" fillId="3" borderId="1" applyAlignment="1" pivotButton="0" quotePrefix="0" xfId="0">
      <alignment horizontal="center" vertical="center" wrapText="1"/>
    </xf>
    <xf numFmtId="0" fontId="6" fillId="6" borderId="1" applyAlignment="1" pivotButton="0" quotePrefix="0" xfId="0">
      <alignment horizontal="left" vertical="top" wrapText="1"/>
    </xf>
    <xf numFmtId="0" fontId="6" fillId="4" borderId="1" applyAlignment="1" pivotButton="0" quotePrefix="0" xfId="0">
      <alignment horizontal="left" vertical="top" wrapText="1"/>
    </xf>
    <xf numFmtId="0" fontId="7" fillId="2" borderId="1" applyAlignment="1" pivotButton="0" quotePrefix="0" xfId="0">
      <alignment horizontal="center" vertical="center" wrapText="1"/>
    </xf>
    <xf numFmtId="0" fontId="8" fillId="8" borderId="1" applyAlignment="1" pivotButton="0" quotePrefix="0" xfId="0">
      <alignment horizontal="left" vertical="top" wrapText="1"/>
    </xf>
    <xf numFmtId="0" fontId="9" fillId="9" borderId="1" applyAlignment="1" pivotButton="0" quotePrefix="0" xfId="0">
      <alignment horizontal="left" vertical="top" wrapText="1"/>
    </xf>
    <xf numFmtId="0" fontId="10" fillId="5" borderId="1" applyAlignment="1" pivotButton="0" quotePrefix="0" xfId="0">
      <alignment horizontal="left" vertical="top" wrapText="1"/>
    </xf>
    <xf numFmtId="0" fontId="7" fillId="7" borderId="1" applyAlignment="1" pivotButton="0" quotePrefix="0" xfId="0">
      <alignment horizontal="center" vertical="center" wrapText="1"/>
    </xf>
    <xf numFmtId="0" fontId="11" fillId="2" borderId="1" applyAlignment="1" pivotButton="0" quotePrefix="0" xfId="0">
      <alignment horizontal="left" vertical="center"/>
    </xf>
    <xf numFmtId="0" fontId="12" fillId="3" borderId="1" applyAlignment="1" pivotButton="0" quotePrefix="0" xfId="0">
      <alignment horizontal="left" vertical="center"/>
    </xf>
    <xf numFmtId="0" fontId="3" fillId="6" borderId="1" applyAlignment="1" pivotButton="0" quotePrefix="0" xfId="0">
      <alignment horizontal="left" vertical="center"/>
    </xf>
    <xf numFmtId="0" fontId="13" fillId="5" borderId="1" applyAlignment="1" pivotButton="0" quotePrefix="0" xfId="0">
      <alignment horizontal="center" vertical="center"/>
    </xf>
    <xf numFmtId="0" fontId="3" fillId="4" borderId="1" applyAlignment="1" pivotButton="0" quotePrefix="0" xfId="0">
      <alignment horizontal="left" vertical="center"/>
    </xf>
    <xf numFmtId="164" fontId="13" fillId="5" borderId="1" applyAlignment="1" pivotButton="0" quotePrefix="0" xfId="0">
      <alignment horizontal="center" vertical="center"/>
    </xf>
    <xf numFmtId="0" fontId="12" fillId="7" borderId="1" applyAlignment="1" pivotButton="0" quotePrefix="0" xfId="0">
      <alignment horizontal="left" vertical="center"/>
    </xf>
    <xf numFmtId="0" fontId="8" fillId="8" borderId="1" applyAlignment="1" pivotButton="0" quotePrefix="0" xfId="0">
      <alignment horizontal="left" vertical="center" wrapText="1"/>
    </xf>
    <xf numFmtId="0" fontId="8" fillId="8" borderId="1" applyAlignment="1" pivotButton="0" quotePrefix="0" xfId="0">
      <alignment horizontal="center" vertical="center" wrapText="1"/>
    </xf>
    <xf numFmtId="0" fontId="9" fillId="9" borderId="1" applyAlignment="1" pivotButton="0" quotePrefix="0" xfId="0">
      <alignment horizontal="left" vertical="center" wrapText="1"/>
    </xf>
    <xf numFmtId="0" fontId="9" fillId="9" borderId="1" applyAlignment="1" pivotButton="0" quotePrefix="0" xfId="0">
      <alignment horizontal="center" vertical="center" wrapText="1"/>
    </xf>
    <xf numFmtId="0" fontId="5" fillId="5" borderId="1" applyAlignment="1" pivotButton="0" quotePrefix="0" xfId="0">
      <alignment horizontal="center" vertical="center" wrapText="1"/>
    </xf>
    <xf numFmtId="0" fontId="14" fillId="10" borderId="1" applyAlignment="1" pivotButton="0" quotePrefix="0" xfId="0">
      <alignment horizontal="left" vertical="center" wrapText="1"/>
    </xf>
    <xf numFmtId="0" fontId="14" fillId="10" borderId="1" applyAlignment="1" pivotButton="0" quotePrefix="0" xfId="0">
      <alignment horizontal="center" vertical="center" wrapText="1"/>
    </xf>
    <xf numFmtId="0" fontId="6" fillId="6" borderId="1" applyAlignment="1" pivotButton="0" quotePrefix="0" xfId="0">
      <alignment horizontal="center" vertical="center" wrapText="1"/>
    </xf>
    <xf numFmtId="0" fontId="15" fillId="6" borderId="1" applyAlignment="1" pivotButton="0" quotePrefix="0" xfId="0">
      <alignment horizontal="center" vertical="center" wrapText="1"/>
    </xf>
    <xf numFmtId="0" fontId="6" fillId="4" borderId="1" applyAlignment="1" pivotButton="0" quotePrefix="0" xfId="0">
      <alignment horizontal="center" vertical="center" wrapText="1"/>
    </xf>
    <xf numFmtId="0" fontId="15" fillId="4" borderId="1" applyAlignment="1" pivotButton="0" quotePrefix="0" xfId="0">
      <alignment horizontal="center" vertical="center" wrapText="1"/>
    </xf>
    <xf numFmtId="0" fontId="6" fillId="11" borderId="1" applyAlignment="1" pivotButton="0" quotePrefix="0" xfId="0">
      <alignment horizontal="left" vertical="top" wrapText="1"/>
    </xf>
    <xf numFmtId="0" fontId="6" fillId="5" borderId="1" applyAlignment="1" pivotButton="0" quotePrefix="0" xfId="0">
      <alignment horizontal="left" vertical="top" wrapText="1"/>
    </xf>
    <xf numFmtId="0" fontId="6" fillId="10" borderId="1" applyAlignment="1" pivotButton="0" quotePrefix="0" xfId="0">
      <alignment horizontal="left" vertical="top" wrapText="1"/>
    </xf>
    <xf numFmtId="0" fontId="6" fillId="9" borderId="1" applyAlignment="1" pivotButton="0" quotePrefix="0" xfId="0">
      <alignment horizontal="left" vertical="top" wrapText="1"/>
    </xf>
    <xf numFmtId="0" fontId="6" fillId="8" borderId="1" applyAlignment="1" pivotButton="0" quotePrefix="0" xfId="0">
      <alignment horizontal="left" vertical="top" wrapText="1"/>
    </xf>
    <xf numFmtId="0" fontId="6" fillId="12" borderId="1" applyAlignment="1" pivotButton="0" quotePrefix="0" xfId="0">
      <alignment horizontal="left" vertical="top" wrapText="1"/>
    </xf>
    <xf numFmtId="0" fontId="7" fillId="13" borderId="1" applyAlignment="1" pivotButton="0" quotePrefix="0" xfId="0">
      <alignment horizontal="center" vertical="center" wrapText="1"/>
    </xf>
    <xf numFmtId="0" fontId="6" fillId="4" borderId="1" applyAlignment="1" pivotButton="0" quotePrefix="0" xfId="0">
      <alignment horizontal="left" vertical="center" wrapText="1"/>
    </xf>
    <xf numFmtId="0" fontId="2" fillId="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I37"/>
  <sheetViews>
    <sheetView showGridLines="0" workbookViewId="0">
      <selection activeCell="A1" sqref="A1"/>
    </sheetView>
  </sheetViews>
  <sheetFormatPr baseColWidth="8" defaultRowHeight="15"/>
  <cols>
    <col width="14" customWidth="1" min="1" max="1"/>
    <col width="24" customWidth="1" min="2" max="2"/>
    <col width="55" customWidth="1" min="3" max="3"/>
    <col width="24" customWidth="1" min="4" max="4"/>
    <col width="10" customWidth="1" min="5" max="5"/>
    <col width="10" customWidth="1" min="6" max="6"/>
    <col width="10" customWidth="1" min="7" max="7"/>
    <col width="10" customWidth="1" min="8" max="8"/>
    <col width="10" customWidth="1" min="9" max="9"/>
  </cols>
  <sheetData>
    <row r="1" ht="15" customHeight="1"/>
    <row r="2" ht="60" customHeight="1">
      <c r="A2" s="1" t="inlineStr">
        <is>
          <t>OxyPC Inventory Management System</t>
        </is>
      </c>
    </row>
    <row r="3" ht="30" customHeight="1">
      <c r="A3" s="2" t="inlineStr">
        <is>
          <t>User Acceptance Test (UAT) — Test Case Repository</t>
        </is>
      </c>
    </row>
    <row r="4" ht="20" customHeight="1">
      <c r="A4" s="3" t="inlineStr">
        <is>
          <t>Version 1.0  |  March 2026  |  Confidential — Internal Use Only</t>
        </is>
      </c>
    </row>
    <row r="5" ht="15" customHeight="1"/>
    <row r="6" ht="22" customHeight="1">
      <c r="A6" s="4" t="inlineStr">
        <is>
          <t>Document Information</t>
        </is>
      </c>
    </row>
    <row r="7" ht="20" customHeight="1">
      <c r="A7" s="5" t="inlineStr">
        <is>
          <t>Document Title</t>
        </is>
      </c>
      <c r="B7" s="6" t="n"/>
      <c r="C7" s="7" t="inlineStr">
        <is>
          <t>OxyPC IMS — UAT Test Cases</t>
        </is>
      </c>
      <c r="D7" s="8" t="n"/>
      <c r="E7" s="8" t="n"/>
      <c r="F7" s="8" t="n"/>
      <c r="G7" s="8" t="n"/>
      <c r="H7" s="8" t="n"/>
      <c r="I7" s="6" t="n"/>
    </row>
    <row r="8" ht="20" customHeight="1">
      <c r="A8" s="5" t="inlineStr">
        <is>
          <t>Version</t>
        </is>
      </c>
      <c r="B8" s="6" t="n"/>
      <c r="C8" s="7" t="inlineStr">
        <is>
          <t>1.0</t>
        </is>
      </c>
      <c r="D8" s="8" t="n"/>
      <c r="E8" s="8" t="n"/>
      <c r="F8" s="8" t="n"/>
      <c r="G8" s="8" t="n"/>
      <c r="H8" s="8" t="n"/>
      <c r="I8" s="6" t="n"/>
    </row>
    <row r="9" ht="20" customHeight="1">
      <c r="A9" s="5" t="inlineStr">
        <is>
          <t>Date</t>
        </is>
      </c>
      <c r="B9" s="6" t="n"/>
      <c r="C9" s="7" t="inlineStr">
        <is>
          <t>March 20, 2026</t>
        </is>
      </c>
      <c r="D9" s="8" t="n"/>
      <c r="E9" s="8" t="n"/>
      <c r="F9" s="8" t="n"/>
      <c r="G9" s="8" t="n"/>
      <c r="H9" s="8" t="n"/>
      <c r="I9" s="6" t="n"/>
    </row>
    <row r="10" ht="20" customHeight="1">
      <c r="A10" s="5" t="inlineStr">
        <is>
          <t>Status</t>
        </is>
      </c>
      <c r="B10" s="6" t="n"/>
      <c r="C10" s="7" t="inlineStr">
        <is>
          <t>DRAFT</t>
        </is>
      </c>
      <c r="D10" s="8" t="n"/>
      <c r="E10" s="8" t="n"/>
      <c r="F10" s="8" t="n"/>
      <c r="G10" s="8" t="n"/>
      <c r="H10" s="8" t="n"/>
      <c r="I10" s="6" t="n"/>
    </row>
    <row r="11" ht="20" customHeight="1">
      <c r="A11" s="5" t="inlineStr">
        <is>
          <t>Prepared By</t>
        </is>
      </c>
      <c r="B11" s="6" t="n"/>
      <c r="C11" s="7" t="inlineStr">
        <is>
          <t>OxyPC QA Team</t>
        </is>
      </c>
      <c r="D11" s="8" t="n"/>
      <c r="E11" s="8" t="n"/>
      <c r="F11" s="8" t="n"/>
      <c r="G11" s="8" t="n"/>
      <c r="H11" s="8" t="n"/>
      <c r="I11" s="6" t="n"/>
    </row>
    <row r="12" ht="20" customHeight="1">
      <c r="A12" s="5" t="inlineStr">
        <is>
          <t>System</t>
        </is>
      </c>
      <c r="B12" s="6" t="n"/>
      <c r="C12" s="7" t="inlineStr">
        <is>
          <t>http://&lt;server-ip&gt;:8000</t>
        </is>
      </c>
      <c r="D12" s="8" t="n"/>
      <c r="E12" s="8" t="n"/>
      <c r="F12" s="8" t="n"/>
      <c r="G12" s="8" t="n"/>
      <c r="H12" s="8" t="n"/>
      <c r="I12" s="6" t="n"/>
    </row>
    <row r="13" ht="20" customHeight="1">
      <c r="A13" s="5" t="inlineStr">
        <is>
          <t>Test Environment</t>
        </is>
      </c>
      <c r="B13" s="6" t="n"/>
      <c r="C13" s="7" t="inlineStr">
        <is>
          <t>Local development server with dummy data seeded</t>
        </is>
      </c>
      <c r="D13" s="8" t="n"/>
      <c r="E13" s="8" t="n"/>
      <c r="F13" s="8" t="n"/>
      <c r="G13" s="8" t="n"/>
      <c r="H13" s="8" t="n"/>
      <c r="I13" s="6" t="n"/>
    </row>
    <row r="14" ht="20" customHeight="1">
      <c r="A14" s="5" t="inlineStr">
        <is>
          <t>Admin Credentials</t>
        </is>
      </c>
      <c r="B14" s="6" t="n"/>
      <c r="C14" s="7" t="inlineStr">
        <is>
          <t>Username: admin  |  Password: Admin@1234</t>
        </is>
      </c>
      <c r="D14" s="8" t="n"/>
      <c r="E14" s="8" t="n"/>
      <c r="F14" s="8" t="n"/>
      <c r="G14" s="8" t="n"/>
      <c r="H14" s="8" t="n"/>
      <c r="I14" s="6" t="n"/>
    </row>
    <row r="15" ht="20" customHeight="1">
      <c r="A15" s="5" t="inlineStr">
        <is>
          <t>Test Data</t>
        </is>
      </c>
      <c r="B15" s="6" t="n"/>
      <c r="C15" s="7" t="inlineStr">
        <is>
          <t>Run seed_dummy_data.py to populate test records</t>
        </is>
      </c>
      <c r="D15" s="8" t="n"/>
      <c r="E15" s="8" t="n"/>
      <c r="F15" s="8" t="n"/>
      <c r="G15" s="8" t="n"/>
      <c r="H15" s="8" t="n"/>
      <c r="I15" s="6" t="n"/>
    </row>
    <row r="17" ht="18" customHeight="1">
      <c r="A17" s="9" t="inlineStr">
        <is>
          <t>Test Module Index</t>
        </is>
      </c>
    </row>
    <row r="18">
      <c r="A18" s="10" t="inlineStr">
        <is>
          <t>Module ID</t>
        </is>
      </c>
      <c r="B18" s="10" t="inlineStr">
        <is>
          <t>Module Name</t>
        </is>
      </c>
      <c r="C18" s="10" t="inlineStr">
        <is>
          <t>Coverage Description</t>
        </is>
      </c>
      <c r="D18" s="10" t="inlineStr">
        <is>
          <t>Sheet</t>
        </is>
      </c>
    </row>
    <row r="19" ht="20" customHeight="1">
      <c r="A19" s="11" t="inlineStr">
        <is>
          <t>TC-AUTH</t>
        </is>
      </c>
      <c r="B19" s="11" t="inlineStr">
        <is>
          <t>01 — Authentication</t>
        </is>
      </c>
      <c r="C19" s="11" t="inlineStr">
        <is>
          <t>Login, logout, JWT refresh, role enforcement</t>
        </is>
      </c>
      <c r="D19" s="11" t="inlineStr">
        <is>
          <t>01 — Authentication</t>
        </is>
      </c>
    </row>
    <row r="20" ht="20" customHeight="1">
      <c r="A20" s="12" t="inlineStr">
        <is>
          <t>TC-LOT</t>
        </is>
      </c>
      <c r="B20" s="12" t="inlineStr">
        <is>
          <t>02 — Lot Management</t>
        </is>
      </c>
      <c r="C20" s="12" t="inlineStr">
        <is>
          <t>Create lots, lot P&amp;L, bulk upload</t>
        </is>
      </c>
      <c r="D20" s="12" t="inlineStr">
        <is>
          <t>02 — Lot Management</t>
        </is>
      </c>
    </row>
    <row r="21" ht="20" customHeight="1">
      <c r="A21" s="11" t="inlineStr">
        <is>
          <t>TC-IQC</t>
        </is>
      </c>
      <c r="B21" s="11" t="inlineStr">
        <is>
          <t>03 — IQC</t>
        </is>
      </c>
      <c r="C21" s="11" t="inlineStr">
        <is>
          <t>Device registration, barcode scan, all 23 fields</t>
        </is>
      </c>
      <c r="D21" s="11" t="inlineStr">
        <is>
          <t>03 — IQC</t>
        </is>
      </c>
    </row>
    <row r="22" ht="20" customHeight="1">
      <c r="A22" s="12" t="inlineStr">
        <is>
          <t>TC-STOCK</t>
        </is>
      </c>
      <c r="B22" s="12" t="inlineStr">
        <is>
          <t>04 — Stock In</t>
        </is>
      </c>
      <c r="C22" s="12" t="inlineStr">
        <is>
          <t>Move to stock, location assignment</t>
        </is>
      </c>
      <c r="D22" s="12" t="inlineStr">
        <is>
          <t>04 — Stock In</t>
        </is>
      </c>
    </row>
    <row r="23" ht="20" customHeight="1">
      <c r="A23" s="11" t="inlineStr">
        <is>
          <t>TC-L1</t>
        </is>
      </c>
      <c r="B23" s="11" t="inlineStr">
        <is>
          <t>05 — L1 Repair</t>
        </is>
      </c>
      <c r="C23" s="11" t="inlineStr">
        <is>
          <t>Start job, log parts, complete, advance</t>
        </is>
      </c>
      <c r="D23" s="11" t="inlineStr">
        <is>
          <t>05 — L1 Repair</t>
        </is>
      </c>
    </row>
    <row r="24" ht="20" customHeight="1">
      <c r="A24" s="12" t="inlineStr">
        <is>
          <t>TC-L2</t>
        </is>
      </c>
      <c r="B24" s="12" t="inlineStr">
        <is>
          <t>06 — L2 Repair</t>
        </is>
      </c>
      <c r="C24" s="12" t="inlineStr">
        <is>
          <t>Start job, log parts, complete, advance</t>
        </is>
      </c>
      <c r="D24" s="12" t="inlineStr">
        <is>
          <t>06 — L2 Repair</t>
        </is>
      </c>
    </row>
    <row r="25" ht="20" customHeight="1">
      <c r="A25" s="11" t="inlineStr">
        <is>
          <t>TC-L3</t>
        </is>
      </c>
      <c r="B25" s="11" t="inlineStr">
        <is>
          <t>07 — L3 Repair</t>
        </is>
      </c>
      <c r="C25" s="11" t="inlineStr">
        <is>
          <t>Start job, log parts, complete, advance</t>
        </is>
      </c>
      <c r="D25" s="11" t="inlineStr">
        <is>
          <t>07 — L3 Repair</t>
        </is>
      </c>
    </row>
    <row r="26" ht="20" customHeight="1">
      <c r="A26" s="12" t="inlineStr">
        <is>
          <t>TC-QC</t>
        </is>
      </c>
      <c r="B26" s="12" t="inlineStr">
        <is>
          <t>08 — QC Check</t>
        </is>
      </c>
      <c r="C26" s="12" t="inlineStr">
        <is>
          <t>Pass, fail, scrap, grade assignment</t>
        </is>
      </c>
      <c r="D26" s="12" t="inlineStr">
        <is>
          <t>08 — QC Check</t>
        </is>
      </c>
    </row>
    <row r="27" ht="20" customHeight="1">
      <c r="A27" s="11" t="inlineStr">
        <is>
          <t>TC-COS</t>
        </is>
      </c>
      <c r="B27" s="11" t="inlineStr">
        <is>
          <t>09 — Cosmetic Pipeline</t>
        </is>
      </c>
      <c r="C27" s="11" t="inlineStr">
        <is>
          <t>All 6 stages: Cleaning → Final QC</t>
        </is>
      </c>
      <c r="D27" s="11" t="inlineStr">
        <is>
          <t>09 — Cosmetic Pipeline</t>
        </is>
      </c>
    </row>
    <row r="28" ht="20" customHeight="1">
      <c r="A28" s="12" t="inlineStr">
        <is>
          <t>TC-SALE</t>
        </is>
      </c>
      <c r="B28" s="12" t="inlineStr">
        <is>
          <t>10 — Sales</t>
        </is>
      </c>
      <c r="C28" s="12" t="inlineStr">
        <is>
          <t>Create sale, payment modes, invoice</t>
        </is>
      </c>
      <c r="D28" s="12" t="inlineStr">
        <is>
          <t>10 — Sales</t>
        </is>
      </c>
    </row>
    <row r="29" ht="20" customHeight="1">
      <c r="A29" s="11" t="inlineStr">
        <is>
          <t>TC-RET</t>
        </is>
      </c>
      <c r="B29" s="11" t="inlineStr">
        <is>
          <t>11 — Returns</t>
        </is>
      </c>
      <c r="C29" s="11" t="inlineStr">
        <is>
          <t>Process return, re-routing device</t>
        </is>
      </c>
      <c r="D29" s="11" t="inlineStr">
        <is>
          <t>11 — Returns</t>
        </is>
      </c>
    </row>
    <row r="30" ht="20" customHeight="1">
      <c r="A30" s="12" t="inlineStr">
        <is>
          <t>TC-PARTS</t>
        </is>
      </c>
      <c r="B30" s="12" t="inlineStr">
        <is>
          <t>12 — Spare Parts</t>
        </is>
      </c>
      <c r="C30" s="12" t="inlineStr">
        <is>
          <t>Catalogue, purchase, consumption, low-stock alert</t>
        </is>
      </c>
      <c r="D30" s="12" t="inlineStr">
        <is>
          <t>12 — Spare Parts</t>
        </is>
      </c>
    </row>
    <row r="31" ht="20" customHeight="1">
      <c r="A31" s="11" t="inlineStr">
        <is>
          <t>TC-RAM</t>
        </is>
      </c>
      <c r="B31" s="11" t="inlineStr">
        <is>
          <t>13 — RAM Tracking</t>
        </is>
      </c>
      <c r="C31" s="11" t="inlineStr">
        <is>
          <t>Remove, add, transfer RAM between devices</t>
        </is>
      </c>
      <c r="D31" s="11" t="inlineStr">
        <is>
          <t>13 — RAM Tracking</t>
        </is>
      </c>
    </row>
    <row r="32" ht="20" customHeight="1">
      <c r="A32" s="12" t="inlineStr">
        <is>
          <t>TC-DASH</t>
        </is>
      </c>
      <c r="B32" s="12" t="inlineStr">
        <is>
          <t>14 — Dashboard</t>
        </is>
      </c>
      <c r="C32" s="12" t="inlineStr">
        <is>
          <t>Stage counts, P&amp;L, recent movements</t>
        </is>
      </c>
      <c r="D32" s="12" t="inlineStr">
        <is>
          <t>14 — Dashboard</t>
        </is>
      </c>
    </row>
    <row r="33" ht="20" customHeight="1">
      <c r="A33" s="11" t="inlineStr">
        <is>
          <t>TC-BULK</t>
        </is>
      </c>
      <c r="B33" s="11" t="inlineStr">
        <is>
          <t>15 — Bulk Upload</t>
        </is>
      </c>
      <c r="C33" s="11" t="inlineStr">
        <is>
          <t>Lots, devices, spare parts CSV upload</t>
        </is>
      </c>
      <c r="D33" s="11" t="inlineStr">
        <is>
          <t>15 — Bulk Upload</t>
        </is>
      </c>
    </row>
    <row r="34" ht="20" customHeight="1">
      <c r="A34" s="12" t="inlineStr">
        <is>
          <t>TC-MASTER</t>
        </is>
      </c>
      <c r="B34" s="12" t="inlineStr">
        <is>
          <t>16 — Master Data</t>
        </is>
      </c>
      <c r="C34" s="12" t="inlineStr">
        <is>
          <t>Add/disable/delete dropdown values</t>
        </is>
      </c>
      <c r="D34" s="12" t="inlineStr">
        <is>
          <t>16 — Master Data</t>
        </is>
      </c>
    </row>
    <row r="35" ht="20" customHeight="1">
      <c r="A35" s="11" t="inlineStr">
        <is>
          <t>TC-ADMIN</t>
        </is>
      </c>
      <c r="B35" s="11" t="inlineStr">
        <is>
          <t>17 — Admin / Users</t>
        </is>
      </c>
      <c r="C35" s="11" t="inlineStr">
        <is>
          <t>Create, edit, deactivate users; role assignment</t>
        </is>
      </c>
      <c r="D35" s="11" t="inlineStr">
        <is>
          <t>17 — Admin / Users</t>
        </is>
      </c>
    </row>
    <row r="36" ht="20" customHeight="1">
      <c r="A36" s="12" t="inlineStr">
        <is>
          <t>TC-RPT</t>
        </is>
      </c>
      <c r="B36" s="12" t="inlineStr">
        <is>
          <t>18 — Reports &amp; Export</t>
        </is>
      </c>
      <c r="C36" s="12" t="inlineStr">
        <is>
          <t>CSV export for all modules</t>
        </is>
      </c>
      <c r="D36" s="12" t="inlineStr">
        <is>
          <t>18 — Reports &amp; Export</t>
        </is>
      </c>
    </row>
    <row r="37" ht="20" customHeight="1">
      <c r="A37" s="11" t="inlineStr">
        <is>
          <t>TC-SEC</t>
        </is>
      </c>
      <c r="B37" s="11" t="inlineStr">
        <is>
          <t>19 — Security &amp; Access</t>
        </is>
      </c>
      <c r="C37" s="11" t="inlineStr">
        <is>
          <t>Role enforcement, unauthorized access</t>
        </is>
      </c>
      <c r="D37" s="11" t="inlineStr">
        <is>
          <t>19 — Security &amp; Access</t>
        </is>
      </c>
    </row>
  </sheetData>
  <mergeCells count="23">
    <mergeCell ref="A15:B15"/>
    <mergeCell ref="C8:I8"/>
    <mergeCell ref="A11:B11"/>
    <mergeCell ref="A3:I3"/>
    <mergeCell ref="C7:I7"/>
    <mergeCell ref="C13:I13"/>
    <mergeCell ref="A2:I2"/>
    <mergeCell ref="A7:B7"/>
    <mergeCell ref="A17:I17"/>
    <mergeCell ref="C15:I15"/>
    <mergeCell ref="A4:I4"/>
    <mergeCell ref="A12:B12"/>
    <mergeCell ref="C14:I14"/>
    <mergeCell ref="A14:B14"/>
    <mergeCell ref="C10:I10"/>
    <mergeCell ref="A8:B8"/>
    <mergeCell ref="C9:I9"/>
    <mergeCell ref="A10:B10"/>
    <mergeCell ref="C12:I12"/>
    <mergeCell ref="A13:B13"/>
    <mergeCell ref="A6:I6"/>
    <mergeCell ref="A9:B9"/>
    <mergeCell ref="C11:I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81"/>
  <sheetViews>
    <sheetView showGridLines="0" workbookViewId="0">
      <pane ySplit="1" topLeftCell="A2" activePane="bottomLeft" state="frozen"/>
      <selection pane="bottomLeft" activeCell="A1" sqref="A1"/>
    </sheetView>
  </sheetViews>
  <sheetFormatPr baseColWidth="8" defaultRowHeight="15"/>
  <cols>
    <col width="12" customWidth="1" min="1" max="1"/>
    <col width="18" customWidth="1" min="2" max="2"/>
    <col width="10" customWidth="1" min="3" max="3"/>
    <col width="14" customWidth="1" min="4" max="4"/>
    <col width="35" customWidth="1" min="5" max="5"/>
    <col width="30" customWidth="1" min="6" max="6"/>
    <col width="55" customWidth="1" min="7" max="7"/>
    <col width="35" customWidth="1" min="8" max="8"/>
    <col width="40" customWidth="1" min="9" max="9"/>
    <col width="30" customWidth="1" min="10" max="10"/>
    <col width="12" customWidth="1" min="11" max="11"/>
    <col width="22" customWidth="1" min="12" max="12"/>
  </cols>
  <sheetData>
    <row r="1" ht="30" customHeight="1">
      <c r="A1" s="13" t="inlineStr">
        <is>
          <t>TC ID</t>
        </is>
      </c>
      <c r="B1" s="13" t="inlineStr">
        <is>
          <t>Module</t>
        </is>
      </c>
      <c r="C1" s="13" t="inlineStr">
        <is>
          <t>Priority</t>
        </is>
      </c>
      <c r="D1" s="13" t="inlineStr">
        <is>
          <t>Test Type</t>
        </is>
      </c>
      <c r="E1" s="13" t="inlineStr">
        <is>
          <t>Test Scenario</t>
        </is>
      </c>
      <c r="F1" s="13" t="inlineStr">
        <is>
          <t>Pre-Conditions</t>
        </is>
      </c>
      <c r="G1" s="13" t="inlineStr">
        <is>
          <t>Test Steps</t>
        </is>
      </c>
      <c r="H1" s="13" t="inlineStr">
        <is>
          <t>Test Data</t>
        </is>
      </c>
      <c r="I1" s="13" t="inlineStr">
        <is>
          <t>Expected Result</t>
        </is>
      </c>
      <c r="J1" s="13" t="inlineStr">
        <is>
          <t>Actual Result</t>
        </is>
      </c>
      <c r="K1" s="13" t="inlineStr">
        <is>
          <t>Pass / Fail</t>
        </is>
      </c>
      <c r="L1" s="13" t="inlineStr">
        <is>
          <t>Remarks</t>
        </is>
      </c>
    </row>
    <row r="2" ht="60" customHeight="1">
      <c r="A2" s="12" t="inlineStr">
        <is>
          <t>TC-AUTH-001</t>
        </is>
      </c>
      <c r="B2" s="12" t="inlineStr">
        <is>
          <t>Authentication</t>
        </is>
      </c>
      <c r="C2" s="14" t="inlineStr">
        <is>
          <t>Critical</t>
        </is>
      </c>
      <c r="D2" s="12" t="inlineStr">
        <is>
          <t>Positive</t>
        </is>
      </c>
      <c r="E2" s="12" t="inlineStr">
        <is>
          <t>Valid admin login</t>
        </is>
      </c>
      <c r="F2" s="12" t="inlineStr">
        <is>
          <t>Admin user exists; server running</t>
        </is>
      </c>
      <c r="G2" s="12" t="inlineStr">
        <is>
          <t>1. Navigate to http://&lt;server&gt;/
2. Enter username: admin
3. Enter password: Admin@1234
4. Click Login</t>
        </is>
      </c>
      <c r="H2" s="12" t="inlineStr">
        <is>
          <t>user: admin | pwd: Admin@1234</t>
        </is>
      </c>
      <c r="I2" s="12" t="inlineStr">
        <is>
          <t>Dashboard loads; sidebar shows all modules; user name visible in header</t>
        </is>
      </c>
      <c r="J2" s="12" t="inlineStr"/>
      <c r="K2" s="12" t="inlineStr"/>
      <c r="L2" s="12" t="inlineStr"/>
    </row>
    <row r="3" ht="60" customHeight="1">
      <c r="A3" s="11" t="inlineStr">
        <is>
          <t>TC-AUTH-002</t>
        </is>
      </c>
      <c r="B3" s="11" t="inlineStr">
        <is>
          <t>Authentication</t>
        </is>
      </c>
      <c r="C3" s="14" t="inlineStr">
        <is>
          <t>Critical</t>
        </is>
      </c>
      <c r="D3" s="11" t="inlineStr">
        <is>
          <t>Negative</t>
        </is>
      </c>
      <c r="E3" s="11" t="inlineStr">
        <is>
          <t>Invalid password login</t>
        </is>
      </c>
      <c r="F3" s="11" t="inlineStr">
        <is>
          <t>Server running</t>
        </is>
      </c>
      <c r="G3" s="11" t="inlineStr">
        <is>
          <t>1. Navigate to login page
2. Enter username: admin
3. Enter incorrect password: wrong123
4. Click Login</t>
        </is>
      </c>
      <c r="H3" s="11" t="inlineStr">
        <is>
          <t>user: admin | pwd: wrong123</t>
        </is>
      </c>
      <c r="I3" s="11" t="inlineStr">
        <is>
          <t>Error message: 'Invalid credentials'; user stays on login page; no session created</t>
        </is>
      </c>
      <c r="J3" s="11" t="inlineStr"/>
      <c r="K3" s="11" t="inlineStr"/>
      <c r="L3" s="11" t="inlineStr"/>
    </row>
    <row r="4" ht="60" customHeight="1">
      <c r="A4" s="12" t="inlineStr">
        <is>
          <t>TC-AUTH-003</t>
        </is>
      </c>
      <c r="B4" s="12" t="inlineStr">
        <is>
          <t>Authentication</t>
        </is>
      </c>
      <c r="C4" s="14" t="inlineStr">
        <is>
          <t>Critical</t>
        </is>
      </c>
      <c r="D4" s="12" t="inlineStr">
        <is>
          <t>Negative</t>
        </is>
      </c>
      <c r="E4" s="12" t="inlineStr">
        <is>
          <t>Non-existent user login</t>
        </is>
      </c>
      <c r="F4" s="12" t="inlineStr">
        <is>
          <t>Server running</t>
        </is>
      </c>
      <c r="G4" s="12" t="inlineStr">
        <is>
          <t>1. Navigate to login page
2. Enter username: nobody
3. Enter any password
4. Click Login</t>
        </is>
      </c>
      <c r="H4" s="12" t="inlineStr">
        <is>
          <t>user: nobody | pwd: anything</t>
        </is>
      </c>
      <c r="I4" s="12" t="inlineStr">
        <is>
          <t>Error message shown; no access granted</t>
        </is>
      </c>
      <c r="J4" s="12" t="inlineStr"/>
      <c r="K4" s="12" t="inlineStr"/>
      <c r="L4" s="12" t="inlineStr"/>
    </row>
    <row r="5" ht="60" customHeight="1">
      <c r="A5" s="11" t="inlineStr">
        <is>
          <t>TC-AUTH-004</t>
        </is>
      </c>
      <c r="B5" s="11" t="inlineStr">
        <is>
          <t>Authentication</t>
        </is>
      </c>
      <c r="C5" s="15" t="inlineStr">
        <is>
          <t>High</t>
        </is>
      </c>
      <c r="D5" s="11" t="inlineStr">
        <is>
          <t>Negative</t>
        </is>
      </c>
      <c r="E5" s="11" t="inlineStr">
        <is>
          <t>Deactivated user cannot login</t>
        </is>
      </c>
      <c r="F5" s="11" t="inlineStr">
        <is>
          <t>User 'testuser' exists with status=inactive</t>
        </is>
      </c>
      <c r="G5" s="11" t="inlineStr">
        <is>
          <t>1. Admin deactivates a user
2. Attempt login with that user's credentials</t>
        </is>
      </c>
      <c r="H5" s="11" t="inlineStr">
        <is>
          <t>Deactivated user credentials</t>
        </is>
      </c>
      <c r="I5" s="11" t="inlineStr">
        <is>
          <t>Login rejected with 'Account inactive' or similar message</t>
        </is>
      </c>
      <c r="J5" s="11" t="inlineStr"/>
      <c r="K5" s="11" t="inlineStr"/>
      <c r="L5" s="11" t="inlineStr"/>
    </row>
    <row r="6" ht="60" customHeight="1">
      <c r="A6" s="12" t="inlineStr">
        <is>
          <t>TC-AUTH-005</t>
        </is>
      </c>
      <c r="B6" s="12" t="inlineStr">
        <is>
          <t>Authentication</t>
        </is>
      </c>
      <c r="C6" s="15" t="inlineStr">
        <is>
          <t>High</t>
        </is>
      </c>
      <c r="D6" s="12" t="inlineStr">
        <is>
          <t>Positive</t>
        </is>
      </c>
      <c r="E6" s="12" t="inlineStr">
        <is>
          <t>Logout clears session</t>
        </is>
      </c>
      <c r="F6" s="12" t="inlineStr">
        <is>
          <t>User is logged in</t>
        </is>
      </c>
      <c r="G6" s="12" t="inlineStr">
        <is>
          <t>1. Login as any user
2. Click Logout
3. Press browser Back button
4. Try to access /dashboard</t>
        </is>
      </c>
      <c r="H6" s="12" t="inlineStr">
        <is>
          <t>Any valid user</t>
        </is>
      </c>
      <c r="I6" s="12" t="inlineStr">
        <is>
          <t>User is redirected to login page; session cookie cleared</t>
        </is>
      </c>
      <c r="J6" s="12" t="inlineStr"/>
      <c r="K6" s="12" t="inlineStr"/>
      <c r="L6" s="12" t="inlineStr"/>
    </row>
    <row r="7" ht="60" customHeight="1">
      <c r="A7" s="11" t="inlineStr">
        <is>
          <t>TC-AUTH-006</t>
        </is>
      </c>
      <c r="B7" s="11" t="inlineStr">
        <is>
          <t>Authentication</t>
        </is>
      </c>
      <c r="C7" s="15" t="inlineStr">
        <is>
          <t>High</t>
        </is>
      </c>
      <c r="D7" s="11" t="inlineStr">
        <is>
          <t>Security</t>
        </is>
      </c>
      <c r="E7" s="11" t="inlineStr">
        <is>
          <t>Role-based page access — Sales cannot access Admin</t>
        </is>
      </c>
      <c r="F7" s="11" t="inlineStr">
        <is>
          <t>User with Sales role is logged in</t>
        </is>
      </c>
      <c r="G7" s="11" t="inlineStr">
        <is>
          <t>1. Login as salesexec
2. Manually navigate to http://&lt;server&gt;/admin</t>
        </is>
      </c>
      <c r="H7" s="11" t="inlineStr">
        <is>
          <t>user: salesexec | pwd: Test@1234</t>
        </is>
      </c>
      <c r="I7" s="11" t="inlineStr">
        <is>
          <t>403 Forbidden or redirect to login page; Admin module not accessible</t>
        </is>
      </c>
      <c r="J7" s="11" t="inlineStr"/>
      <c r="K7" s="11" t="inlineStr"/>
      <c r="L7" s="11" t="inlineStr"/>
    </row>
    <row r="8" ht="60" customHeight="1">
      <c r="A8" s="12" t="inlineStr">
        <is>
          <t>TC-AUTH-007</t>
        </is>
      </c>
      <c r="B8" s="12" t="inlineStr">
        <is>
          <t>Authentication</t>
        </is>
      </c>
      <c r="C8" s="15" t="inlineStr">
        <is>
          <t>High</t>
        </is>
      </c>
      <c r="D8" s="12" t="inlineStr">
        <is>
          <t>Security</t>
        </is>
      </c>
      <c r="E8" s="12" t="inlineStr">
        <is>
          <t>Role-based access — IQC cannot access Sales</t>
        </is>
      </c>
      <c r="F8" s="12" t="inlineStr">
        <is>
          <t>User with IQC role is logged in</t>
        </is>
      </c>
      <c r="G8" s="12" t="inlineStr">
        <is>
          <t>1. Login as iqc1
2. Navigate to /sales</t>
        </is>
      </c>
      <c r="H8" s="12" t="inlineStr">
        <is>
          <t>user: iqc1 | pwd: Test@1234</t>
        </is>
      </c>
      <c r="I8" s="12" t="inlineStr">
        <is>
          <t>403 error or redirect; IQC user cannot access Sales module</t>
        </is>
      </c>
      <c r="J8" s="12" t="inlineStr"/>
      <c r="K8" s="12" t="inlineStr"/>
      <c r="L8" s="12" t="inlineStr"/>
    </row>
    <row r="9" ht="60" customHeight="1">
      <c r="A9" s="11" t="inlineStr">
        <is>
          <t>TC-LOT-001</t>
        </is>
      </c>
      <c r="B9" s="11" t="inlineStr">
        <is>
          <t>Lot Management</t>
        </is>
      </c>
      <c r="C9" s="14" t="inlineStr">
        <is>
          <t>Critical</t>
        </is>
      </c>
      <c r="D9" s="11" t="inlineStr">
        <is>
          <t>Positive</t>
        </is>
      </c>
      <c r="E9" s="11" t="inlineStr">
        <is>
          <t>Create new lot</t>
        </is>
      </c>
      <c r="F9" s="11" t="inlineStr">
        <is>
          <t>Admin or Inventory Manager logged in</t>
        </is>
      </c>
      <c r="G9" s="11" t="inlineStr">
        <is>
          <t>1. Go to Lots → New Lot
2. Fill all fields
3. Click Save</t>
        </is>
      </c>
      <c r="H9" s="11" t="inlineStr">
        <is>
          <t>Lot#: LOT-UAT-001 | Supplier: ABC Traders | Price: 85000 | Qty: 10 | Date: 2026-03-15 | Inv#: INV-UAT-001</t>
        </is>
      </c>
      <c r="I9" s="11" t="inlineStr">
        <is>
          <t>Lot created; appears in lot list with correct details; lot count increments by 1</t>
        </is>
      </c>
      <c r="J9" s="11" t="inlineStr"/>
      <c r="K9" s="11" t="inlineStr"/>
      <c r="L9" s="11" t="inlineStr"/>
    </row>
    <row r="10" ht="60" customHeight="1">
      <c r="A10" s="12" t="inlineStr">
        <is>
          <t>TC-LOT-002</t>
        </is>
      </c>
      <c r="B10" s="12" t="inlineStr">
        <is>
          <t>Lot Management</t>
        </is>
      </c>
      <c r="C10" s="15" t="inlineStr">
        <is>
          <t>High</t>
        </is>
      </c>
      <c r="D10" s="12" t="inlineStr">
        <is>
          <t>Negative</t>
        </is>
      </c>
      <c r="E10" s="12" t="inlineStr">
        <is>
          <t>Duplicate lot number rejected</t>
        </is>
      </c>
      <c r="F10" s="12" t="inlineStr">
        <is>
          <t>Lot LOT-UAT-001 already exists</t>
        </is>
      </c>
      <c r="G10" s="12" t="inlineStr">
        <is>
          <t>1. Go to Lots → New Lot
2. Enter lot number: LOT-UAT-001
3. Fill other fields
4. Save</t>
        </is>
      </c>
      <c r="H10" s="12" t="inlineStr">
        <is>
          <t>Lot#: LOT-UAT-001 (duplicate)</t>
        </is>
      </c>
      <c r="I10" s="12" t="inlineStr">
        <is>
          <t>Error shown: 'Lot number already exists'; lot not created</t>
        </is>
      </c>
      <c r="J10" s="12" t="inlineStr"/>
      <c r="K10" s="12" t="inlineStr"/>
      <c r="L10" s="12" t="inlineStr"/>
    </row>
    <row r="11" ht="60" customHeight="1">
      <c r="A11" s="11" t="inlineStr">
        <is>
          <t>TC-LOT-003</t>
        </is>
      </c>
      <c r="B11" s="11" t="inlineStr">
        <is>
          <t>Lot Management</t>
        </is>
      </c>
      <c r="C11" s="15" t="inlineStr">
        <is>
          <t>High</t>
        </is>
      </c>
      <c r="D11" s="11" t="inlineStr">
        <is>
          <t>Positive</t>
        </is>
      </c>
      <c r="E11" s="11" t="inlineStr">
        <is>
          <t>View devices in lot</t>
        </is>
      </c>
      <c r="F11" s="11" t="inlineStr">
        <is>
          <t>Lot LOT-TEST-001 exists with devices</t>
        </is>
      </c>
      <c r="G11" s="11" t="inlineStr">
        <is>
          <t>1. Go to Lots list
2. Click on LOT-TEST-001
3. View device list</t>
        </is>
      </c>
      <c r="H11" s="11" t="inlineStr">
        <is>
          <t>LOT-TEST-001 (seeded data)</t>
        </is>
      </c>
      <c r="I11" s="11" t="inlineStr">
        <is>
          <t>Device list shows all devices in the lot with barcode, stage, grade, brand, model</t>
        </is>
      </c>
      <c r="J11" s="11" t="inlineStr"/>
      <c r="K11" s="11" t="inlineStr"/>
      <c r="L11" s="11" t="inlineStr"/>
    </row>
    <row r="12" ht="60" customHeight="1">
      <c r="A12" s="12" t="inlineStr">
        <is>
          <t>TC-LOT-004</t>
        </is>
      </c>
      <c r="B12" s="12" t="inlineStr">
        <is>
          <t>Lot Management</t>
        </is>
      </c>
      <c r="C12" s="16" t="inlineStr">
        <is>
          <t>Medium</t>
        </is>
      </c>
      <c r="D12" s="12" t="inlineStr">
        <is>
          <t>Positive</t>
        </is>
      </c>
      <c r="E12" s="12" t="inlineStr">
        <is>
          <t>Lot P&amp;L calculation</t>
        </is>
      </c>
      <c r="F12" s="12" t="inlineStr">
        <is>
          <t>Lot has sold devices and spare parts consumption</t>
        </is>
      </c>
      <c r="G12" s="12" t="inlineStr">
        <is>
          <t>1. Go to Dashboard
2. View Lot P&amp;L table</t>
        </is>
      </c>
      <c r="H12" s="12" t="inlineStr">
        <is>
          <t>Seeded lots with sales and parts consumption</t>
        </is>
      </c>
      <c r="I12" s="12" t="inlineStr">
        <is>
          <t>P&amp;L shows: Buying Price, Spare Parts Cost, Revenue, Gross Profit, Gross Margin % per lot</t>
        </is>
      </c>
      <c r="J12" s="12" t="inlineStr"/>
      <c r="K12" s="12" t="inlineStr"/>
      <c r="L12" s="12" t="inlineStr"/>
    </row>
    <row r="13" ht="60" customHeight="1">
      <c r="A13" s="11" t="inlineStr">
        <is>
          <t>TC-IQC-001</t>
        </is>
      </c>
      <c r="B13" s="11" t="inlineStr">
        <is>
          <t>IQC</t>
        </is>
      </c>
      <c r="C13" s="14" t="inlineStr">
        <is>
          <t>Critical</t>
        </is>
      </c>
      <c r="D13" s="11" t="inlineStr">
        <is>
          <t>Positive</t>
        </is>
      </c>
      <c r="E13" s="11" t="inlineStr">
        <is>
          <t>Register new device with all fields</t>
        </is>
      </c>
      <c r="F13" s="11" t="inlineStr">
        <is>
          <t>IQC Inspector logged in; lot LOT-UAT-001 exists</t>
        </is>
      </c>
      <c r="G13" s="11" t="inlineStr">
        <is>
          <t>1. Go to IQC → Register Device
2. Fill all 23 fields
3. Submit</t>
        </is>
      </c>
      <c r="H13" s="11" t="inlineStr">
        <is>
          <t>Barcode: OXY-UAT-00001 | Lot: LOT-UAT-001 | Brand: HP | Model: EliteBook 840 G6 | CPU: Intel i5-8250U | RAM: 8 | SSD: 256 | Type: SSD | Battery: 78 | Grade: B | Floor: Floor 1</t>
        </is>
      </c>
      <c r="I13" s="11" t="inlineStr">
        <is>
          <t>Device registered; appears in IQC list; stage = IQC; all fields saved correctly</t>
        </is>
      </c>
      <c r="J13" s="11" t="inlineStr"/>
      <c r="K13" s="11" t="inlineStr"/>
      <c r="L13" s="11" t="inlineStr"/>
    </row>
    <row r="14" ht="60" customHeight="1">
      <c r="A14" s="12" t="inlineStr">
        <is>
          <t>TC-IQC-002</t>
        </is>
      </c>
      <c r="B14" s="12" t="inlineStr">
        <is>
          <t>IQC</t>
        </is>
      </c>
      <c r="C14" s="14" t="inlineStr">
        <is>
          <t>Critical</t>
        </is>
      </c>
      <c r="D14" s="12" t="inlineStr">
        <is>
          <t>Negative</t>
        </is>
      </c>
      <c r="E14" s="12" t="inlineStr">
        <is>
          <t>Duplicate barcode rejected</t>
        </is>
      </c>
      <c r="F14" s="12" t="inlineStr">
        <is>
          <t>Device OXY-UAT-00001 already registered</t>
        </is>
      </c>
      <c r="G14" s="12" t="inlineStr">
        <is>
          <t>1. Go to IQC → Register Device
2. Enter barcode: OXY-UAT-00001
3. Fill other fields
4. Submit</t>
        </is>
      </c>
      <c r="H14" s="12" t="inlineStr">
        <is>
          <t>Barcode: OXY-UAT-00001 (duplicate)</t>
        </is>
      </c>
      <c r="I14" s="12" t="inlineStr">
        <is>
          <t>Error shown: 'Barcode already exists'; device not created</t>
        </is>
      </c>
      <c r="J14" s="12" t="inlineStr"/>
      <c r="K14" s="12" t="inlineStr"/>
      <c r="L14" s="12" t="inlineStr"/>
    </row>
    <row r="15" ht="60" customHeight="1">
      <c r="A15" s="11" t="inlineStr">
        <is>
          <t>TC-IQC-003</t>
        </is>
      </c>
      <c r="B15" s="11" t="inlineStr">
        <is>
          <t>IQC</t>
        </is>
      </c>
      <c r="C15" s="15" t="inlineStr">
        <is>
          <t>High</t>
        </is>
      </c>
      <c r="D15" s="11" t="inlineStr">
        <is>
          <t>Positive</t>
        </is>
      </c>
      <c r="E15" s="11" t="inlineStr">
        <is>
          <t>Barcode scan auto-fills existing device</t>
        </is>
      </c>
      <c r="F15" s="11" t="inlineStr">
        <is>
          <t>Device OXY-TEST-00001 exists; IQC form open</t>
        </is>
      </c>
      <c r="G15" s="11" t="inlineStr">
        <is>
          <t>1. Scan barcode OXY-TEST-00001 into barcode field
2. Observe auto-fill</t>
        </is>
      </c>
      <c r="H15" s="11" t="inlineStr">
        <is>
          <t>Barcode: OXY-TEST-00001</t>
        </is>
      </c>
      <c r="I15" s="11" t="inlineStr">
        <is>
          <t>All known fields auto-populated: brand, model, RAM, storage, grade, lot</t>
        </is>
      </c>
      <c r="J15" s="11" t="inlineStr"/>
      <c r="K15" s="11" t="inlineStr"/>
      <c r="L15" s="11" t="inlineStr"/>
    </row>
    <row r="16" ht="60" customHeight="1">
      <c r="A16" s="12" t="inlineStr">
        <is>
          <t>TC-IQC-004</t>
        </is>
      </c>
      <c r="B16" s="12" t="inlineStr">
        <is>
          <t>IQC</t>
        </is>
      </c>
      <c r="C16" s="15" t="inlineStr">
        <is>
          <t>High</t>
        </is>
      </c>
      <c r="D16" s="12" t="inlineStr">
        <is>
          <t>Positive</t>
        </is>
      </c>
      <c r="E16" s="12" t="inlineStr">
        <is>
          <t>Register device with minimum required fields only</t>
        </is>
      </c>
      <c r="F16" s="12" t="inlineStr">
        <is>
          <t>IQC Inspector logged in; lot exists</t>
        </is>
      </c>
      <c r="G16" s="12" t="inlineStr">
        <is>
          <t>1. Go to IQC → Register Device
2. Enter only barcode and lot
3. Submit</t>
        </is>
      </c>
      <c r="H16" s="12" t="inlineStr">
        <is>
          <t>Barcode: OXY-UAT-00002 | Lot: LOT-UAT-001</t>
        </is>
      </c>
      <c r="I16" s="12" t="inlineStr">
        <is>
          <t>Device registered with barcode and lot; all optional fields null; stage = IQC</t>
        </is>
      </c>
      <c r="J16" s="12" t="inlineStr"/>
      <c r="K16" s="12" t="inlineStr"/>
      <c r="L16" s="12" t="inlineStr"/>
    </row>
    <row r="17" ht="60" customHeight="1">
      <c r="A17" s="11" t="inlineStr">
        <is>
          <t>TC-IQC-005</t>
        </is>
      </c>
      <c r="B17" s="11" t="inlineStr">
        <is>
          <t>IQC</t>
        </is>
      </c>
      <c r="C17" s="15" t="inlineStr">
        <is>
          <t>High</t>
        </is>
      </c>
      <c r="D17" s="11" t="inlineStr">
        <is>
          <t>Positive</t>
        </is>
      </c>
      <c r="E17" s="11" t="inlineStr">
        <is>
          <t>BIOS password flagged at IQC</t>
        </is>
      </c>
      <c r="F17" s="11" t="inlineStr">
        <is>
          <t>IQC Inspector logged in</t>
        </is>
      </c>
      <c r="G17" s="11" t="inlineStr">
        <is>
          <t>1. Register new device
2. Tick the 'BIOS Password' checkbox
3. Submit</t>
        </is>
      </c>
      <c r="H17" s="11" t="inlineStr">
        <is>
          <t>BIOS Password: Yes (ticked)</t>
        </is>
      </c>
      <c r="I17" s="11" t="inlineStr">
        <is>
          <t>Device record shows bios_password = True; flag visible in device detail</t>
        </is>
      </c>
      <c r="J17" s="11" t="inlineStr"/>
      <c r="K17" s="11" t="inlineStr"/>
      <c r="L17" s="11" t="inlineStr"/>
    </row>
    <row r="18" ht="60" customHeight="1">
      <c r="A18" s="12" t="inlineStr">
        <is>
          <t>TC-IQC-006</t>
        </is>
      </c>
      <c r="B18" s="12" t="inlineStr">
        <is>
          <t>IQC</t>
        </is>
      </c>
      <c r="C18" s="16" t="inlineStr">
        <is>
          <t>Medium</t>
        </is>
      </c>
      <c r="D18" s="12" t="inlineStr">
        <is>
          <t>Positive</t>
        </is>
      </c>
      <c r="E18" s="12" t="inlineStr">
        <is>
          <t>IQC list shows all pending devices</t>
        </is>
      </c>
      <c r="F18" s="12" t="inlineStr">
        <is>
          <t>Multiple devices in IQC stage exist</t>
        </is>
      </c>
      <c r="G18" s="12" t="inlineStr">
        <is>
          <t>1. Go to IQC module
2. View list</t>
        </is>
      </c>
      <c r="H18" s="12" t="inlineStr">
        <is>
          <t>Seeded data: 10 devices at IQC stage</t>
        </is>
      </c>
      <c r="I18" s="12" t="inlineStr">
        <is>
          <t>All IQC-stage devices listed; table sortable/searchable; device count shown</t>
        </is>
      </c>
      <c r="J18" s="12" t="inlineStr"/>
      <c r="K18" s="12" t="inlineStr"/>
      <c r="L18" s="12" t="inlineStr"/>
    </row>
    <row r="19" ht="60" customHeight="1">
      <c r="A19" s="11" t="inlineStr">
        <is>
          <t>TC-IQC-007</t>
        </is>
      </c>
      <c r="B19" s="11" t="inlineStr">
        <is>
          <t>IQC</t>
        </is>
      </c>
      <c r="C19" s="16" t="inlineStr">
        <is>
          <t>Medium</t>
        </is>
      </c>
      <c r="D19" s="11" t="inlineStr">
        <is>
          <t>Positive</t>
        </is>
      </c>
      <c r="E19" s="11" t="inlineStr">
        <is>
          <t>Grade 'Scrap' can be assigned at IQC</t>
        </is>
      </c>
      <c r="F19" s="11" t="inlineStr">
        <is>
          <t>IQC Inspector logged in</t>
        </is>
      </c>
      <c r="G19" s="11" t="inlineStr">
        <is>
          <t>1. Register new device
2. Select Grade = Scrap
3. Submit</t>
        </is>
      </c>
      <c r="H19" s="11" t="inlineStr">
        <is>
          <t>Grade: Scrap | Barcode: OXY-UAT-00003</t>
        </is>
      </c>
      <c r="I19" s="11" t="inlineStr">
        <is>
          <t>Device registered with grade = Scrap; shows in IQC list</t>
        </is>
      </c>
      <c r="J19" s="11" t="inlineStr"/>
      <c r="K19" s="11" t="inlineStr"/>
      <c r="L19" s="11" t="inlineStr"/>
    </row>
    <row r="20" ht="60" customHeight="1">
      <c r="A20" s="12" t="inlineStr">
        <is>
          <t>TC-STOCK-001</t>
        </is>
      </c>
      <c r="B20" s="12" t="inlineStr">
        <is>
          <t>Stock In</t>
        </is>
      </c>
      <c r="C20" s="14" t="inlineStr">
        <is>
          <t>Critical</t>
        </is>
      </c>
      <c r="D20" s="12" t="inlineStr">
        <is>
          <t>Positive</t>
        </is>
      </c>
      <c r="E20" s="12" t="inlineStr">
        <is>
          <t>Move device from IQC to Stock In</t>
        </is>
      </c>
      <c r="F20" s="12" t="inlineStr">
        <is>
          <t>Device OXY-UAT-00001 in IQC stage; Inventory Manager logged in</t>
        </is>
      </c>
      <c r="G20" s="12" t="inlineStr">
        <is>
          <t>1. Go to Stock In module
2. Find or scan OXY-UAT-00001
3. Confirm location
4. Click Move to Stock</t>
        </is>
      </c>
      <c r="H20" s="12" t="inlineStr">
        <is>
          <t>Barcode: OXY-UAT-00001 | Floor: Floor 1</t>
        </is>
      </c>
      <c r="I20" s="12" t="inlineStr">
        <is>
          <t>Device stage updated to stock_in; stage movement recorded; device disappears from IQC list</t>
        </is>
      </c>
      <c r="J20" s="12" t="inlineStr"/>
      <c r="K20" s="12" t="inlineStr"/>
      <c r="L20" s="12" t="inlineStr"/>
    </row>
    <row r="21" ht="60" customHeight="1">
      <c r="A21" s="11" t="inlineStr">
        <is>
          <t>TC-STOCK-002</t>
        </is>
      </c>
      <c r="B21" s="11" t="inlineStr">
        <is>
          <t>Stock In</t>
        </is>
      </c>
      <c r="C21" s="15" t="inlineStr">
        <is>
          <t>High</t>
        </is>
      </c>
      <c r="D21" s="11" t="inlineStr">
        <is>
          <t>Positive</t>
        </is>
      </c>
      <c r="E21" s="11" t="inlineStr">
        <is>
          <t>Stock In list shows only stock-in devices</t>
        </is>
      </c>
      <c r="F21" s="11" t="inlineStr">
        <is>
          <t>Devices in stock_in stage exist</t>
        </is>
      </c>
      <c r="G21" s="11" t="inlineStr">
        <is>
          <t>1. Go to Stock In module
2. View list</t>
        </is>
      </c>
      <c r="H21" s="11" t="inlineStr">
        <is>
          <t>Seeded data: 10 devices at stock_in</t>
        </is>
      </c>
      <c r="I21" s="11" t="inlineStr">
        <is>
          <t>Only stock_in stage devices shown; correct device count</t>
        </is>
      </c>
      <c r="J21" s="11" t="inlineStr"/>
      <c r="K21" s="11" t="inlineStr"/>
      <c r="L21" s="11" t="inlineStr"/>
    </row>
    <row r="22" ht="60" customHeight="1">
      <c r="A22" s="12" t="inlineStr">
        <is>
          <t>TC-STOCK-003</t>
        </is>
      </c>
      <c r="B22" s="12" t="inlineStr">
        <is>
          <t>Stock In</t>
        </is>
      </c>
      <c r="C22" s="16" t="inlineStr">
        <is>
          <t>Medium</t>
        </is>
      </c>
      <c r="D22" s="12" t="inlineStr">
        <is>
          <t>Negative</t>
        </is>
      </c>
      <c r="E22" s="12" t="inlineStr">
        <is>
          <t>Cannot move already-stocked device to stock again</t>
        </is>
      </c>
      <c r="F22" s="12" t="inlineStr">
        <is>
          <t>Device is already at stock_in stage</t>
        </is>
      </c>
      <c r="G22" s="12" t="inlineStr">
        <is>
          <t>1. Attempt to move a stock_in device to stock_in again</t>
        </is>
      </c>
      <c r="H22" s="12" t="inlineStr">
        <is>
          <t>Device already in stock_in</t>
        </is>
      </c>
      <c r="I22" s="12" t="inlineStr">
        <is>
          <t>System prevents duplicate stage change; error or device absent from IQC list</t>
        </is>
      </c>
      <c r="J22" s="12" t="inlineStr"/>
      <c r="K22" s="12" t="inlineStr"/>
      <c r="L22" s="12" t="inlineStr"/>
    </row>
    <row r="23" ht="60" customHeight="1">
      <c r="A23" s="11" t="inlineStr">
        <is>
          <t>TC-L1-001</t>
        </is>
      </c>
      <c r="B23" s="11" t="inlineStr">
        <is>
          <t>L1 Repair</t>
        </is>
      </c>
      <c r="C23" s="14" t="inlineStr">
        <is>
          <t>Critical</t>
        </is>
      </c>
      <c r="D23" s="11" t="inlineStr">
        <is>
          <t>Positive</t>
        </is>
      </c>
      <c r="E23" s="11" t="inlineStr">
        <is>
          <t>Start L1 repair job</t>
        </is>
      </c>
      <c r="F23" s="11" t="inlineStr">
        <is>
          <t>Device in stock_in or l1 stage; L1 Engineer logged in</t>
        </is>
      </c>
      <c r="G23" s="11" t="inlineStr">
        <is>
          <t>1. Go to L1 Repair
2. Scan device barcode
3. Enter issue description
4. Click Start Repair</t>
        </is>
      </c>
      <c r="H23" s="11" t="inlineStr">
        <is>
          <t>Barcode: OXY-TEST-00021 | Issue: RAM upgrade required</t>
        </is>
      </c>
      <c r="I23" s="11" t="inlineStr">
        <is>
          <t>Repair job created with status=in_progress; device stage = l1; appears in L1 list</t>
        </is>
      </c>
      <c r="J23" s="11" t="inlineStr"/>
      <c r="K23" s="11" t="inlineStr"/>
      <c r="L23" s="11" t="inlineStr"/>
    </row>
    <row r="24" ht="60" customHeight="1">
      <c r="A24" s="12" t="inlineStr">
        <is>
          <t>TC-L1-002</t>
        </is>
      </c>
      <c r="B24" s="12" t="inlineStr">
        <is>
          <t>L1 Repair</t>
        </is>
      </c>
      <c r="C24" s="14" t="inlineStr">
        <is>
          <t>Critical</t>
        </is>
      </c>
      <c r="D24" s="12" t="inlineStr">
        <is>
          <t>Positive</t>
        </is>
      </c>
      <c r="E24" s="12" t="inlineStr">
        <is>
          <t>Complete L1 repair and advance to QC</t>
        </is>
      </c>
      <c r="F24" s="12" t="inlineStr">
        <is>
          <t>Device has open L1 repair job</t>
        </is>
      </c>
      <c r="G24" s="12" t="inlineStr">
        <is>
          <t>1. Go to L1 Repair → Active Jobs
2. Click Complete on job
3. Enter resolution
4. Tick 'Move to next stage'
5. Submit</t>
        </is>
      </c>
      <c r="H24" s="12" t="inlineStr">
        <is>
          <t>Resolution: Upgraded RAM from 4GB to 8GB | Move to next: Yes</t>
        </is>
      </c>
      <c r="I24" s="12" t="inlineStr">
        <is>
          <t>Repair marked complete; device stage moves to qc_check; stage movement logged</t>
        </is>
      </c>
      <c r="J24" s="12" t="inlineStr"/>
      <c r="K24" s="12" t="inlineStr"/>
      <c r="L24" s="12" t="inlineStr"/>
    </row>
    <row r="25" ht="60" customHeight="1">
      <c r="A25" s="11" t="inlineStr">
        <is>
          <t>TC-L1-003</t>
        </is>
      </c>
      <c r="B25" s="11" t="inlineStr">
        <is>
          <t>L1 Repair</t>
        </is>
      </c>
      <c r="C25" s="15" t="inlineStr">
        <is>
          <t>High</t>
        </is>
      </c>
      <c r="D25" s="11" t="inlineStr">
        <is>
          <t>Positive</t>
        </is>
      </c>
      <c r="E25" s="11" t="inlineStr">
        <is>
          <t>Complete repair WITHOUT advancing stage</t>
        </is>
      </c>
      <c r="F25" s="11" t="inlineStr">
        <is>
          <t>Device has open L1 repair job</t>
        </is>
      </c>
      <c r="G25" s="11" t="inlineStr">
        <is>
          <t>1. Complete L1 repair job
2. Leave 'Move to next stage' UNCHECKED
3. Submit</t>
        </is>
      </c>
      <c r="H25" s="11" t="inlineStr">
        <is>
          <t>Move to next: No (unchecked)</t>
        </is>
      </c>
      <c r="I25" s="11" t="inlineStr">
        <is>
          <t>Repair marked complete; device STAYS at l1 stage; no stage movement to qc_check</t>
        </is>
      </c>
      <c r="J25" s="11" t="inlineStr"/>
      <c r="K25" s="11" t="inlineStr"/>
      <c r="L25" s="11" t="inlineStr"/>
    </row>
    <row r="26" ht="60" customHeight="1">
      <c r="A26" s="12" t="inlineStr">
        <is>
          <t>TC-L1-004</t>
        </is>
      </c>
      <c r="B26" s="12" t="inlineStr">
        <is>
          <t>L1 Repair</t>
        </is>
      </c>
      <c r="C26" s="15" t="inlineStr">
        <is>
          <t>High</t>
        </is>
      </c>
      <c r="D26" s="12" t="inlineStr">
        <is>
          <t>Positive</t>
        </is>
      </c>
      <c r="E26" s="12" t="inlineStr">
        <is>
          <t>Log spare part consumption in L1</t>
        </is>
      </c>
      <c r="F26" s="12" t="inlineStr">
        <is>
          <t>L1 Engineer logged in; spare part exists in stock</t>
        </is>
      </c>
      <c r="G26" s="12" t="inlineStr">
        <is>
          <t>1. On device detail or repair form
2. Log consumption: part=RAM DDR4 8GB, qty=1</t>
        </is>
      </c>
      <c r="H26" s="12" t="inlineStr">
        <is>
          <t>Part: RAM DDR4 8GB | Qty: 1 | Stage: L1</t>
        </is>
      </c>
      <c r="I26" s="12" t="inlineStr">
        <is>
          <t>Consumption record created; spare part stock decremented by 1; cost linked to device</t>
        </is>
      </c>
      <c r="J26" s="12" t="inlineStr"/>
      <c r="K26" s="12" t="inlineStr"/>
      <c r="L26" s="12" t="inlineStr"/>
    </row>
    <row r="27" ht="60" customHeight="1">
      <c r="A27" s="11" t="inlineStr">
        <is>
          <t>TC-L2-001</t>
        </is>
      </c>
      <c r="B27" s="11" t="inlineStr">
        <is>
          <t>L2 Repair</t>
        </is>
      </c>
      <c r="C27" s="14" t="inlineStr">
        <is>
          <t>Critical</t>
        </is>
      </c>
      <c r="D27" s="11" t="inlineStr">
        <is>
          <t>Positive</t>
        </is>
      </c>
      <c r="E27" s="11" t="inlineStr">
        <is>
          <t>Start and complete L2 repair job</t>
        </is>
      </c>
      <c r="F27" s="11" t="inlineStr">
        <is>
          <t>Device in l2 stage; L2 Engineer logged in</t>
        </is>
      </c>
      <c r="G27" s="11" t="inlineStr">
        <is>
          <t>1. Go to L2 Repair
2. Start job for device in l2 queue
3. Enter issue + resolution
4. Complete and advance</t>
        </is>
      </c>
      <c r="H27" s="11" t="inlineStr">
        <is>
          <t>Issue: Screen crack | Resolution: Replaced 14-inch panel | Advance: Yes</t>
        </is>
      </c>
      <c r="I27" s="11" t="inlineStr">
        <is>
          <t>L2 job completed; device advances to qc_check; stage movement logged</t>
        </is>
      </c>
      <c r="J27" s="11" t="inlineStr"/>
      <c r="K27" s="11" t="inlineStr"/>
      <c r="L27" s="11" t="inlineStr"/>
    </row>
    <row r="28" ht="60" customHeight="1">
      <c r="A28" s="12" t="inlineStr">
        <is>
          <t>TC-L2-002</t>
        </is>
      </c>
      <c r="B28" s="12" t="inlineStr">
        <is>
          <t>L2 Repair</t>
        </is>
      </c>
      <c r="C28" s="15" t="inlineStr">
        <is>
          <t>High</t>
        </is>
      </c>
      <c r="D28" s="12" t="inlineStr">
        <is>
          <t>Positive</t>
        </is>
      </c>
      <c r="E28" s="12" t="inlineStr">
        <is>
          <t>L2 engineer can log spare parts</t>
        </is>
      </c>
      <c r="F28" s="12" t="inlineStr">
        <is>
          <t>L2 Engineer logged in; screen panel in stock</t>
        </is>
      </c>
      <c r="G28" s="12" t="inlineStr">
        <is>
          <t>1. Log consumption of 14-inch FHD panel for l2 device</t>
        </is>
      </c>
      <c r="H28" s="12" t="inlineStr">
        <is>
          <t>Part: 14-inch FHD IPS Panel | Qty: 1</t>
        </is>
      </c>
      <c r="I28" s="12" t="inlineStr">
        <is>
          <t>Consumption logged; stock decremented; cost linked to device</t>
        </is>
      </c>
      <c r="J28" s="12" t="inlineStr"/>
      <c r="K28" s="12" t="inlineStr"/>
      <c r="L28" s="12" t="inlineStr"/>
    </row>
    <row r="29" ht="60" customHeight="1">
      <c r="A29" s="11" t="inlineStr">
        <is>
          <t>TC-L3-001</t>
        </is>
      </c>
      <c r="B29" s="11" t="inlineStr">
        <is>
          <t>L3 Repair</t>
        </is>
      </c>
      <c r="C29" s="15" t="inlineStr">
        <is>
          <t>High</t>
        </is>
      </c>
      <c r="D29" s="11" t="inlineStr">
        <is>
          <t>Positive</t>
        </is>
      </c>
      <c r="E29" s="11" t="inlineStr">
        <is>
          <t>Start and complete L3 repair</t>
        </is>
      </c>
      <c r="F29" s="11" t="inlineStr">
        <is>
          <t>Device in l3 stage; L3 Engineer logged in</t>
        </is>
      </c>
      <c r="G29" s="11" t="inlineStr">
        <is>
          <t>1. Start L3 job
2. Complete with resolution
3. Advance to QC</t>
        </is>
      </c>
      <c r="H29" s="11" t="inlineStr">
        <is>
          <t>Issue: No POST | Resolution: Reflowed southbridge chip</t>
        </is>
      </c>
      <c r="I29" s="11" t="inlineStr">
        <is>
          <t>L3 job completed; device to qc_check</t>
        </is>
      </c>
      <c r="J29" s="11" t="inlineStr"/>
      <c r="K29" s="11" t="inlineStr"/>
      <c r="L29" s="11" t="inlineStr"/>
    </row>
    <row r="30" ht="60" customHeight="1">
      <c r="A30" s="12" t="inlineStr">
        <is>
          <t>TC-QC-001</t>
        </is>
      </c>
      <c r="B30" s="12" t="inlineStr">
        <is>
          <t>QC Check</t>
        </is>
      </c>
      <c r="C30" s="14" t="inlineStr">
        <is>
          <t>Critical</t>
        </is>
      </c>
      <c r="D30" s="12" t="inlineStr">
        <is>
          <t>Positive</t>
        </is>
      </c>
      <c r="E30" s="12" t="inlineStr">
        <is>
          <t>QC Pass — device moves to Ready to Sale</t>
        </is>
      </c>
      <c r="F30" s="12" t="inlineStr">
        <is>
          <t>Device in qc_check stage; QC Inspector logged in</t>
        </is>
      </c>
      <c r="G30" s="12" t="inlineStr">
        <is>
          <t>1. Go to QC Check list
2. Click QC on device OXY-TEST-00041
3. Select Result: Pass
4. Set Grade: B
5. Submit</t>
        </is>
      </c>
      <c r="H30" s="12" t="inlineStr">
        <is>
          <t>Barcode: OXY-TEST-00041 | Result: Pass | Grade: B</t>
        </is>
      </c>
      <c r="I30" s="12" t="inlineStr">
        <is>
          <t>QC check record created; device stage = ready_to_sale; device appears in Sales list</t>
        </is>
      </c>
      <c r="J30" s="12" t="inlineStr"/>
      <c r="K30" s="12" t="inlineStr"/>
      <c r="L30" s="12" t="inlineStr"/>
    </row>
    <row r="31" ht="60" customHeight="1">
      <c r="A31" s="11" t="inlineStr">
        <is>
          <t>TC-QC-002</t>
        </is>
      </c>
      <c r="B31" s="11" t="inlineStr">
        <is>
          <t>QC Check</t>
        </is>
      </c>
      <c r="C31" s="14" t="inlineStr">
        <is>
          <t>Critical</t>
        </is>
      </c>
      <c r="D31" s="11" t="inlineStr">
        <is>
          <t>Positive</t>
        </is>
      </c>
      <c r="E31" s="11" t="inlineStr">
        <is>
          <t>QC Fail — device returned to repair</t>
        </is>
      </c>
      <c r="F31" s="11" t="inlineStr">
        <is>
          <t>Device in qc_check stage; QC Inspector logged in</t>
        </is>
      </c>
      <c r="G31" s="11" t="inlineStr">
        <is>
          <t>1. Go to QC Check
2. Select Result: Fail
3. Enter issues found
4. Submit</t>
        </is>
      </c>
      <c r="H31" s="11" t="inlineStr">
        <is>
          <t>Result: Fail | Issues: Keyboard keys not responding</t>
        </is>
      </c>
      <c r="I31" s="11" t="inlineStr">
        <is>
          <t>QC fail recorded; device stage stays at qc_check or moves back to l1/l2 queue</t>
        </is>
      </c>
      <c r="J31" s="11" t="inlineStr"/>
      <c r="K31" s="11" t="inlineStr"/>
      <c r="L31" s="11" t="inlineStr"/>
    </row>
    <row r="32" ht="60" customHeight="1">
      <c r="A32" s="12" t="inlineStr">
        <is>
          <t>TC-QC-003</t>
        </is>
      </c>
      <c r="B32" s="12" t="inlineStr">
        <is>
          <t>QC Check</t>
        </is>
      </c>
      <c r="C32" s="14" t="inlineStr">
        <is>
          <t>Critical</t>
        </is>
      </c>
      <c r="D32" s="12" t="inlineStr">
        <is>
          <t>Positive</t>
        </is>
      </c>
      <c r="E32" s="12" t="inlineStr">
        <is>
          <t>QC Scrap — device marked as scrapped</t>
        </is>
      </c>
      <c r="F32" s="12" t="inlineStr">
        <is>
          <t>Device in qc_check stage</t>
        </is>
      </c>
      <c r="G32" s="12" t="inlineStr">
        <is>
          <t>1. Go to QC Check
2. Select Grade: Scrap
3. Result: Fail
4. Submit</t>
        </is>
      </c>
      <c r="H32" s="12" t="inlineStr">
        <is>
          <t>Grade: Scrap | Result: Fail</t>
        </is>
      </c>
      <c r="I32" s="12" t="inlineStr">
        <is>
          <t>Device stage = scrapped; device removed from active pipeline; scrap record saved</t>
        </is>
      </c>
      <c r="J32" s="12" t="inlineStr"/>
      <c r="K32" s="12" t="inlineStr"/>
      <c r="L32" s="12" t="inlineStr"/>
    </row>
    <row r="33" ht="60" customHeight="1">
      <c r="A33" s="11" t="inlineStr">
        <is>
          <t>TC-QC-004</t>
        </is>
      </c>
      <c r="B33" s="11" t="inlineStr">
        <is>
          <t>QC Check</t>
        </is>
      </c>
      <c r="C33" s="15" t="inlineStr">
        <is>
          <t>High</t>
        </is>
      </c>
      <c r="D33" s="11" t="inlineStr">
        <is>
          <t>Positive</t>
        </is>
      </c>
      <c r="E33" s="11" t="inlineStr">
        <is>
          <t>Send QC-passed device to Cosmetic Pipeline</t>
        </is>
      </c>
      <c r="F33" s="11" t="inlineStr">
        <is>
          <t>Device in qc_check stage</t>
        </is>
      </c>
      <c r="G33" s="11" t="inlineStr">
        <is>
          <t>1. In QC list, click 'Cosmetic' button for device
2. Confirm</t>
        </is>
      </c>
      <c r="H33" s="11" t="inlineStr">
        <is>
          <t>Barcode: OXY-TEST-00042</t>
        </is>
      </c>
      <c r="I33" s="11" t="inlineStr">
        <is>
          <t>Device stage = cleaning; appears in Cosmetic Pipeline → Cleaning list</t>
        </is>
      </c>
      <c r="J33" s="11" t="inlineStr"/>
      <c r="K33" s="11" t="inlineStr"/>
      <c r="L33" s="11" t="inlineStr"/>
    </row>
    <row r="34" ht="60" customHeight="1">
      <c r="A34" s="12" t="inlineStr">
        <is>
          <t>TC-QC-005</t>
        </is>
      </c>
      <c r="B34" s="12" t="inlineStr">
        <is>
          <t>QC Check</t>
        </is>
      </c>
      <c r="C34" s="16" t="inlineStr">
        <is>
          <t>Medium</t>
        </is>
      </c>
      <c r="D34" s="12" t="inlineStr">
        <is>
          <t>Positive</t>
        </is>
      </c>
      <c r="E34" s="12" t="inlineStr">
        <is>
          <t>QC list shows CPU and grade columns</t>
        </is>
      </c>
      <c r="F34" s="12" t="inlineStr">
        <is>
          <t>Devices in qc_check stage</t>
        </is>
      </c>
      <c r="G34" s="12" t="inlineStr">
        <is>
          <t>1. Go to QC Check list
2. Observe columns</t>
        </is>
      </c>
      <c r="H34" s="12" t="inlineStr">
        <is>
          <t>Seeded data</t>
        </is>
      </c>
      <c r="I34" s="12" t="inlineStr">
        <is>
          <t>Table shows: Barcode, Lot, Brand, Model, CPU, RAM, Storage, Grade, Actions (QC + Cosmetic buttons)</t>
        </is>
      </c>
      <c r="J34" s="12" t="inlineStr"/>
      <c r="K34" s="12" t="inlineStr"/>
      <c r="L34" s="12" t="inlineStr"/>
    </row>
    <row r="35" ht="60" customHeight="1">
      <c r="A35" s="11" t="inlineStr">
        <is>
          <t>TC-COS-001</t>
        </is>
      </c>
      <c r="B35" s="11" t="inlineStr">
        <is>
          <t>Cosmetic Pipeline</t>
        </is>
      </c>
      <c r="C35" s="14" t="inlineStr">
        <is>
          <t>Critical</t>
        </is>
      </c>
      <c r="D35" s="11" t="inlineStr">
        <is>
          <t>Positive</t>
        </is>
      </c>
      <c r="E35" s="11" t="inlineStr">
        <is>
          <t>Cosmetic dashboard shows all 6 stages</t>
        </is>
      </c>
      <c r="F35" s="11" t="inlineStr">
        <is>
          <t>Devices exist in various cosmetic stages</t>
        </is>
      </c>
      <c r="G35" s="11" t="inlineStr">
        <is>
          <t>1. Go to Cosmetic → Pipeline Dashboard
2. Observe all stage cards</t>
        </is>
      </c>
      <c r="H35" s="11" t="inlineStr">
        <is>
          <t>Seeded cosmetic devices</t>
        </is>
      </c>
      <c r="I35" s="11" t="inlineStr">
        <is>
          <t>Dashboard shows 6 stage cards: Cleaning, Dry Sanding, Masking, Painting, Water Sanding, Final QC with device counts</t>
        </is>
      </c>
      <c r="J35" s="11" t="inlineStr"/>
      <c r="K35" s="11" t="inlineStr"/>
      <c r="L35" s="11" t="inlineStr"/>
    </row>
    <row r="36" ht="60" customHeight="1">
      <c r="A36" s="12" t="inlineStr">
        <is>
          <t>TC-COS-002</t>
        </is>
      </c>
      <c r="B36" s="12" t="inlineStr">
        <is>
          <t>Cosmetic Pipeline</t>
        </is>
      </c>
      <c r="C36" s="14" t="inlineStr">
        <is>
          <t>Critical</t>
        </is>
      </c>
      <c r="D36" s="12" t="inlineStr">
        <is>
          <t>Positive</t>
        </is>
      </c>
      <c r="E36" s="12" t="inlineStr">
        <is>
          <t>Advance device: Cleaning → Dry Sanding</t>
        </is>
      </c>
      <c r="F36" s="12" t="inlineStr">
        <is>
          <t>Device in cleaning stage; QC Inspector or Inv. Manager logged in</t>
        </is>
      </c>
      <c r="G36" s="12" t="inlineStr">
        <is>
          <t>1. Go to Cosmetic → Cleaning
2. Scan device barcode in advance form
3. Click Advance</t>
        </is>
      </c>
      <c r="H36" s="12" t="inlineStr">
        <is>
          <t>Barcode: OXY-UAT-00001</t>
        </is>
      </c>
      <c r="I36" s="12" t="inlineStr">
        <is>
          <t>Device stage = dry_sanding; stage movement logged; device removed from Cleaning list</t>
        </is>
      </c>
      <c r="J36" s="12" t="inlineStr"/>
      <c r="K36" s="12" t="inlineStr"/>
      <c r="L36" s="12" t="inlineStr"/>
    </row>
    <row r="37" ht="60" customHeight="1">
      <c r="A37" s="11" t="inlineStr">
        <is>
          <t>TC-COS-003</t>
        </is>
      </c>
      <c r="B37" s="11" t="inlineStr">
        <is>
          <t>Cosmetic Pipeline</t>
        </is>
      </c>
      <c r="C37" s="14" t="inlineStr">
        <is>
          <t>Critical</t>
        </is>
      </c>
      <c r="D37" s="11" t="inlineStr">
        <is>
          <t>Positive</t>
        </is>
      </c>
      <c r="E37" s="11" t="inlineStr">
        <is>
          <t>Full cosmetic pipeline: Cleaning through Final QC</t>
        </is>
      </c>
      <c r="F37" s="11" t="inlineStr">
        <is>
          <t>Device in cleaning stage</t>
        </is>
      </c>
      <c r="G37" s="11" t="inlineStr">
        <is>
          <t>1. Advance device through each stage sequentially
2. Cleaning → Dry Sanding → Masking → Painting → Water Sanding → Final QC</t>
        </is>
      </c>
      <c r="H37" s="11" t="inlineStr">
        <is>
          <t>Barcode: OXY-UAT-00001</t>
        </is>
      </c>
      <c r="I37" s="11" t="inlineStr">
        <is>
          <t>Device progresses through all 6 stages; stage movements all recorded; at Final QC stage after 5 advances</t>
        </is>
      </c>
      <c r="J37" s="11" t="inlineStr"/>
      <c r="K37" s="11" t="inlineStr"/>
      <c r="L37" s="11" t="inlineStr"/>
    </row>
    <row r="38" ht="60" customHeight="1">
      <c r="A38" s="12" t="inlineStr">
        <is>
          <t>TC-COS-004</t>
        </is>
      </c>
      <c r="B38" s="12" t="inlineStr">
        <is>
          <t>Cosmetic Pipeline</t>
        </is>
      </c>
      <c r="C38" s="14" t="inlineStr">
        <is>
          <t>Critical</t>
        </is>
      </c>
      <c r="D38" s="12" t="inlineStr">
        <is>
          <t>Positive</t>
        </is>
      </c>
      <c r="E38" s="12" t="inlineStr">
        <is>
          <t>Final QC advance → Ready to Sale</t>
        </is>
      </c>
      <c r="F38" s="12" t="inlineStr">
        <is>
          <t>Device in final_qc stage</t>
        </is>
      </c>
      <c r="G38" s="12" t="inlineStr">
        <is>
          <t>1. Go to Cosmetic → Final QC
2. Advance device</t>
        </is>
      </c>
      <c r="H38" s="12" t="inlineStr">
        <is>
          <t>Barcode in final_qc stage</t>
        </is>
      </c>
      <c r="I38" s="12" t="inlineStr">
        <is>
          <t>Device stage = ready_to_sale; device appears in Sales → Ready to Sale list</t>
        </is>
      </c>
      <c r="J38" s="12" t="inlineStr"/>
      <c r="K38" s="12" t="inlineStr"/>
      <c r="L38" s="12" t="inlineStr"/>
    </row>
    <row r="39" ht="60" customHeight="1">
      <c r="A39" s="11" t="inlineStr">
        <is>
          <t>TC-COS-005</t>
        </is>
      </c>
      <c r="B39" s="11" t="inlineStr">
        <is>
          <t>Cosmetic Pipeline</t>
        </is>
      </c>
      <c r="C39" s="15" t="inlineStr">
        <is>
          <t>High</t>
        </is>
      </c>
      <c r="D39" s="11" t="inlineStr">
        <is>
          <t>Positive</t>
        </is>
      </c>
      <c r="E39" s="11" t="inlineStr">
        <is>
          <t>Stage navigation tabs on stage page</t>
        </is>
      </c>
      <c r="F39" s="11" t="inlineStr">
        <is>
          <t>In any cosmetic stage page</t>
        </is>
      </c>
      <c r="G39" s="11" t="inlineStr">
        <is>
          <t>1. Go to Cosmetic → Cleaning
2. Observe top nav tabs</t>
        </is>
      </c>
      <c r="H39" s="11" t="inlineStr">
        <is>
          <t>Any cosmetic stage</t>
        </is>
      </c>
      <c r="I39" s="11" t="inlineStr">
        <is>
          <t>Navigation tabs show all 6 stages; active stage highlighted; clicking tab navigates to that stage's list</t>
        </is>
      </c>
      <c r="J39" s="11" t="inlineStr"/>
      <c r="K39" s="11" t="inlineStr"/>
      <c r="L39" s="11" t="inlineStr"/>
    </row>
    <row r="40" ht="60" customHeight="1">
      <c r="A40" s="12" t="inlineStr">
        <is>
          <t>TC-SALE-001</t>
        </is>
      </c>
      <c r="B40" s="12" t="inlineStr">
        <is>
          <t>Sales</t>
        </is>
      </c>
      <c r="C40" s="14" t="inlineStr">
        <is>
          <t>Critical</t>
        </is>
      </c>
      <c r="D40" s="12" t="inlineStr">
        <is>
          <t>Positive</t>
        </is>
      </c>
      <c r="E40" s="12" t="inlineStr">
        <is>
          <t>Create a sale for ready device</t>
        </is>
      </c>
      <c r="F40" s="12" t="inlineStr">
        <is>
          <t>Device in ready_to_sale stage; Sales user logged in</t>
        </is>
      </c>
      <c r="G40" s="12" t="inlineStr">
        <is>
          <t>1. Go to Sales → Ready to Sale
2. Click Sell on a device
3. Fill sale form
4. Submit</t>
        </is>
      </c>
      <c r="H40" s="12" t="inlineStr">
        <is>
          <t>Sale#: SALE-UAT-001 | Device: OXY-TEST-00051 | Price: 25000 | Customer: Rahul Sharma | Phone: 9876543210 | Payment: UPI | Inv: SINV-UAT-001</t>
        </is>
      </c>
      <c r="I40" s="12" t="inlineStr">
        <is>
          <t>Sale created; device stage = sold; device removed from Ready to Sale list; revenue recorded</t>
        </is>
      </c>
      <c r="J40" s="12" t="inlineStr"/>
      <c r="K40" s="12" t="inlineStr"/>
      <c r="L40" s="12" t="inlineStr"/>
    </row>
    <row r="41" ht="60" customHeight="1">
      <c r="A41" s="11" t="inlineStr">
        <is>
          <t>TC-SALE-002</t>
        </is>
      </c>
      <c r="B41" s="11" t="inlineStr">
        <is>
          <t>Sales</t>
        </is>
      </c>
      <c r="C41" s="15" t="inlineStr">
        <is>
          <t>High</t>
        </is>
      </c>
      <c r="D41" s="11" t="inlineStr">
        <is>
          <t>Positive</t>
        </is>
      </c>
      <c r="E41" s="11" t="inlineStr">
        <is>
          <t>Sales list shows all completed sales</t>
        </is>
      </c>
      <c r="F41" s="11" t="inlineStr">
        <is>
          <t>Sales records exist</t>
        </is>
      </c>
      <c r="G41" s="11" t="inlineStr">
        <is>
          <t>1. Go to Sales → Sales List</t>
        </is>
      </c>
      <c r="H41" s="11" t="inlineStr">
        <is>
          <t>Seeded 25 sales records</t>
        </is>
      </c>
      <c r="I41" s="11" t="inlineStr">
        <is>
          <t>All sales listed with: Sale #, Device, Customer, Sale Price, Payment Mode, Date, Sold By</t>
        </is>
      </c>
      <c r="J41" s="11" t="inlineStr"/>
      <c r="K41" s="11" t="inlineStr"/>
      <c r="L41" s="11" t="inlineStr"/>
    </row>
    <row r="42" ht="60" customHeight="1">
      <c r="A42" s="12" t="inlineStr">
        <is>
          <t>TC-SALE-003</t>
        </is>
      </c>
      <c r="B42" s="12" t="inlineStr">
        <is>
          <t>Sales</t>
        </is>
      </c>
      <c r="C42" s="15" t="inlineStr">
        <is>
          <t>High</t>
        </is>
      </c>
      <c r="D42" s="12" t="inlineStr">
        <is>
          <t>Positive</t>
        </is>
      </c>
      <c r="E42" s="12" t="inlineStr">
        <is>
          <t>All payment modes accepted</t>
        </is>
      </c>
      <c r="F42" s="12" t="inlineStr">
        <is>
          <t>Device in ready_to_sale</t>
        </is>
      </c>
      <c r="G42" s="12" t="inlineStr">
        <is>
          <t>1. Create sale
2. Test each payment mode: Cash, UPI, Card, Credit, Cheque</t>
        </is>
      </c>
      <c r="H42" s="12" t="inlineStr">
        <is>
          <t>Payment Mode: Cash / UPI / Card / Credit / Cheque</t>
        </is>
      </c>
      <c r="I42" s="12" t="inlineStr">
        <is>
          <t>Each payment mode accepted; sale created successfully for each</t>
        </is>
      </c>
      <c r="J42" s="12" t="inlineStr"/>
      <c r="K42" s="12" t="inlineStr"/>
      <c r="L42" s="12" t="inlineStr"/>
    </row>
    <row r="43" ht="60" customHeight="1">
      <c r="A43" s="11" t="inlineStr">
        <is>
          <t>TC-SALE-004</t>
        </is>
      </c>
      <c r="B43" s="11" t="inlineStr">
        <is>
          <t>Sales</t>
        </is>
      </c>
      <c r="C43" s="16" t="inlineStr">
        <is>
          <t>Medium</t>
        </is>
      </c>
      <c r="D43" s="11" t="inlineStr">
        <is>
          <t>Negative</t>
        </is>
      </c>
      <c r="E43" s="11" t="inlineStr">
        <is>
          <t>Cannot sell device not in ready_to_sale</t>
        </is>
      </c>
      <c r="F43" s="11" t="inlineStr">
        <is>
          <t>Device in l1 stage</t>
        </is>
      </c>
      <c r="G43" s="11" t="inlineStr">
        <is>
          <t>1. Attempt to create sale for an l1-stage device</t>
        </is>
      </c>
      <c r="H43" s="11" t="inlineStr">
        <is>
          <t>Device in l1 stage</t>
        </is>
      </c>
      <c r="I43" s="11" t="inlineStr">
        <is>
          <t>Error shown or device not listed in Ready to Sale; sale cannot be created</t>
        </is>
      </c>
      <c r="J43" s="11" t="inlineStr"/>
      <c r="K43" s="11" t="inlineStr"/>
      <c r="L43" s="11" t="inlineStr"/>
    </row>
    <row r="44" ht="60" customHeight="1">
      <c r="A44" s="12" t="inlineStr">
        <is>
          <t>TC-RET-001</t>
        </is>
      </c>
      <c r="B44" s="12" t="inlineStr">
        <is>
          <t>Returns</t>
        </is>
      </c>
      <c r="C44" s="14" t="inlineStr">
        <is>
          <t>Critical</t>
        </is>
      </c>
      <c r="D44" s="12" t="inlineStr">
        <is>
          <t>Positive</t>
        </is>
      </c>
      <c r="E44" s="12" t="inlineStr">
        <is>
          <t>Process a return</t>
        </is>
      </c>
      <c r="F44" s="12" t="inlineStr">
        <is>
          <t>A sale exists; Sales user logged in</t>
        </is>
      </c>
      <c r="G44" s="12" t="inlineStr">
        <is>
          <t>1. Go to Sales → Returns → New Return
2. Enter sale number or barcode
3. Fill reason and condition
4. Enter refund amount
5. Submit</t>
        </is>
      </c>
      <c r="H44" s="12" t="inlineStr">
        <is>
          <t>Sale: SALE-SEED-0001 | Reason: Not working | Condition: As Sold | Refund: 15000</t>
        </is>
      </c>
      <c r="I44" s="12" t="inlineStr">
        <is>
          <t>Return record created; device stage = returned; refund amount saved</t>
        </is>
      </c>
      <c r="J44" s="12" t="inlineStr"/>
      <c r="K44" s="12" t="inlineStr"/>
      <c r="L44" s="12" t="inlineStr"/>
    </row>
    <row r="45" ht="60" customHeight="1">
      <c r="A45" s="11" t="inlineStr">
        <is>
          <t>TC-RET-002</t>
        </is>
      </c>
      <c r="B45" s="11" t="inlineStr">
        <is>
          <t>Returns</t>
        </is>
      </c>
      <c r="C45" s="15" t="inlineStr">
        <is>
          <t>High</t>
        </is>
      </c>
      <c r="D45" s="11" t="inlineStr">
        <is>
          <t>Positive</t>
        </is>
      </c>
      <c r="E45" s="11" t="inlineStr">
        <is>
          <t>Returns list shows all returns</t>
        </is>
      </c>
      <c r="F45" s="11" t="inlineStr">
        <is>
          <t>Return records exist</t>
        </is>
      </c>
      <c r="G45" s="11" t="inlineStr">
        <is>
          <t>1. Go to Sales → Returns</t>
        </is>
      </c>
      <c r="H45" s="11" t="inlineStr">
        <is>
          <t>Seeded 3 return records</t>
        </is>
      </c>
      <c r="I45" s="11" t="inlineStr">
        <is>
          <t>All returns listed: Return Date, Barcode, Device, Sale #, Sale Price, Refund, Reason, Condition, Processed By</t>
        </is>
      </c>
      <c r="J45" s="11" t="inlineStr"/>
      <c r="K45" s="11" t="inlineStr"/>
      <c r="L45" s="11" t="inlineStr"/>
    </row>
    <row r="46" ht="60" customHeight="1">
      <c r="A46" s="12" t="inlineStr">
        <is>
          <t>TC-RET-003</t>
        </is>
      </c>
      <c r="B46" s="12" t="inlineStr">
        <is>
          <t>Returns</t>
        </is>
      </c>
      <c r="C46" s="16" t="inlineStr">
        <is>
          <t>Medium</t>
        </is>
      </c>
      <c r="D46" s="12" t="inlineStr">
        <is>
          <t>Positive</t>
        </is>
      </c>
      <c r="E46" s="12" t="inlineStr">
        <is>
          <t>Returned device can be re-routed to IQC</t>
        </is>
      </c>
      <c r="F46" s="12" t="inlineStr">
        <is>
          <t>Device in returned stage</t>
        </is>
      </c>
      <c r="G46" s="12" t="inlineStr">
        <is>
          <t>1. Inventory Manager re-routes returned device to IQC or Stock In</t>
        </is>
      </c>
      <c r="H46" s="12" t="inlineStr">
        <is>
          <t>Returned device barcode</t>
        </is>
      </c>
      <c r="I46" s="12" t="inlineStr">
        <is>
          <t>Device stage moves from returned to iqc or stock_in; stage movement logged</t>
        </is>
      </c>
      <c r="J46" s="12" t="inlineStr"/>
      <c r="K46" s="12" t="inlineStr"/>
      <c r="L46" s="12" t="inlineStr"/>
    </row>
    <row r="47" ht="60" customHeight="1">
      <c r="A47" s="11" t="inlineStr">
        <is>
          <t>TC-PARTS-001</t>
        </is>
      </c>
      <c r="B47" s="11" t="inlineStr">
        <is>
          <t>Spare Parts</t>
        </is>
      </c>
      <c r="C47" s="14" t="inlineStr">
        <is>
          <t>Critical</t>
        </is>
      </c>
      <c r="D47" s="11" t="inlineStr">
        <is>
          <t>Positive</t>
        </is>
      </c>
      <c r="E47" s="11" t="inlineStr">
        <is>
          <t>Add new spare part</t>
        </is>
      </c>
      <c r="F47" s="11" t="inlineStr">
        <is>
          <t>Spare Parts Manager logged in</t>
        </is>
      </c>
      <c r="G47" s="11" t="inlineStr">
        <is>
          <t>1. Go to Spare Parts → Add Part
2. Fill all fields
3. Save</t>
        </is>
      </c>
      <c r="H47" s="11" t="inlineStr">
        <is>
          <t>Code: RAM-DDR4-16G | Name: DDR4 16GB RAM | Category: RAM | Price: 2500 | Stock: 5 | Min Alert: 2 | Supplier: TechParts Ltd</t>
        </is>
      </c>
      <c r="I47" s="11" t="inlineStr">
        <is>
          <t>Part created; appears in catalogue; stock count shows 5</t>
        </is>
      </c>
      <c r="J47" s="11" t="inlineStr"/>
      <c r="K47" s="11" t="inlineStr"/>
      <c r="L47" s="11" t="inlineStr"/>
    </row>
    <row r="48" ht="60" customHeight="1">
      <c r="A48" s="12" t="inlineStr">
        <is>
          <t>TC-PARTS-002</t>
        </is>
      </c>
      <c r="B48" s="12" t="inlineStr">
        <is>
          <t>Spare Parts</t>
        </is>
      </c>
      <c r="C48" s="14" t="inlineStr">
        <is>
          <t>Critical</t>
        </is>
      </c>
      <c r="D48" s="12" t="inlineStr">
        <is>
          <t>Positive</t>
        </is>
      </c>
      <c r="E48" s="12" t="inlineStr">
        <is>
          <t>Log purchase — stock increments</t>
        </is>
      </c>
      <c r="F48" s="12" t="inlineStr">
        <is>
          <t>Spare part exists; Spare Parts Manager logged in</t>
        </is>
      </c>
      <c r="G48" s="12" t="inlineStr">
        <is>
          <t>1. Go to Spare Parts → Log Purchase
2. Select part RAM-DDR4-16G
3. Enter qty: 10
4. Submit</t>
        </is>
      </c>
      <c r="H48" s="12" t="inlineStr">
        <is>
          <t>Part: RAM-DDR4-16G | Qty: 10 | Unit Price: 2400 | Supplier: TechParts Ltd</t>
        </is>
      </c>
      <c r="I48" s="12" t="inlineStr">
        <is>
          <t>Purchase logged; part stock increments to 15; purchase record saved</t>
        </is>
      </c>
      <c r="J48" s="12" t="inlineStr"/>
      <c r="K48" s="12" t="inlineStr"/>
      <c r="L48" s="12" t="inlineStr"/>
    </row>
    <row r="49" ht="60" customHeight="1">
      <c r="A49" s="11" t="inlineStr">
        <is>
          <t>TC-PARTS-003</t>
        </is>
      </c>
      <c r="B49" s="11" t="inlineStr">
        <is>
          <t>Spare Parts</t>
        </is>
      </c>
      <c r="C49" s="14" t="inlineStr">
        <is>
          <t>Critical</t>
        </is>
      </c>
      <c r="D49" s="11" t="inlineStr">
        <is>
          <t>Positive</t>
        </is>
      </c>
      <c r="E49" s="11" t="inlineStr">
        <is>
          <t>Log consumption — stock decrements</t>
        </is>
      </c>
      <c r="F49" s="11" t="inlineStr">
        <is>
          <t>Spare part in stock; repair job active</t>
        </is>
      </c>
      <c r="G49" s="11" t="inlineStr">
        <is>
          <t>1. Go to Spare Parts → Log Consumption
2. Select part and device
3. Qty: 1
4. Submit</t>
        </is>
      </c>
      <c r="H49" s="11" t="inlineStr">
        <is>
          <t>Part: RAM-DDR4-16G | Device: OXY-TEST-00021 | Qty: 1 | Stage: L1</t>
        </is>
      </c>
      <c r="I49" s="11" t="inlineStr">
        <is>
          <t>Consumption logged; stock decrements by 1; cost linked to device for P&amp;L</t>
        </is>
      </c>
      <c r="J49" s="11" t="inlineStr"/>
      <c r="K49" s="11" t="inlineStr"/>
      <c r="L49" s="11" t="inlineStr"/>
    </row>
    <row r="50" ht="60" customHeight="1">
      <c r="A50" s="12" t="inlineStr">
        <is>
          <t>TC-PARTS-004</t>
        </is>
      </c>
      <c r="B50" s="12" t="inlineStr">
        <is>
          <t>Spare Parts</t>
        </is>
      </c>
      <c r="C50" s="15" t="inlineStr">
        <is>
          <t>High</t>
        </is>
      </c>
      <c r="D50" s="12" t="inlineStr">
        <is>
          <t>Positive</t>
        </is>
      </c>
      <c r="E50" s="12" t="inlineStr">
        <is>
          <t>Low stock alert visible</t>
        </is>
      </c>
      <c r="F50" s="12" t="inlineStr">
        <is>
          <t>Part with qty_in_stock &lt; min_stock_alert exists</t>
        </is>
      </c>
      <c r="G50" s="12" t="inlineStr">
        <is>
          <t>1. Go to Spare Parts list
2. Observe low-stock flagging</t>
        </is>
      </c>
      <c r="H50" s="12" t="inlineStr">
        <is>
          <t>Part with stock=1, min_alert=5</t>
        </is>
      </c>
      <c r="I50" s="12" t="inlineStr">
        <is>
          <t>Low-stock parts highlighted (red or warning indicator); visible on dashboard</t>
        </is>
      </c>
      <c r="J50" s="12" t="inlineStr"/>
      <c r="K50" s="12" t="inlineStr"/>
      <c r="L50" s="12" t="inlineStr"/>
    </row>
    <row r="51" ht="60" customHeight="1">
      <c r="A51" s="11" t="inlineStr">
        <is>
          <t>TC-PARTS-005</t>
        </is>
      </c>
      <c r="B51" s="11" t="inlineStr">
        <is>
          <t>Spare Parts</t>
        </is>
      </c>
      <c r="C51" s="15" t="inlineStr">
        <is>
          <t>High</t>
        </is>
      </c>
      <c r="D51" s="11" t="inlineStr">
        <is>
          <t>Positive</t>
        </is>
      </c>
      <c r="E51" s="11" t="inlineStr">
        <is>
          <t>Edit spare part details</t>
        </is>
      </c>
      <c r="F51" s="11" t="inlineStr">
        <is>
          <t>Spare part exists</t>
        </is>
      </c>
      <c r="G51" s="11" t="inlineStr">
        <is>
          <t>1. Go to Spare Parts list
2. Click Edit on a part
3. Update price and supplier
4. Save</t>
        </is>
      </c>
      <c r="H51" s="11" t="inlineStr">
        <is>
          <t>New price: 2800 | New supplier: Parts World</t>
        </is>
      </c>
      <c r="I51" s="11" t="inlineStr">
        <is>
          <t>Part updated; new values reflected in catalogue; part code unchanged (readonly)</t>
        </is>
      </c>
      <c r="J51" s="11" t="inlineStr"/>
      <c r="K51" s="11" t="inlineStr"/>
      <c r="L51" s="11" t="inlineStr"/>
    </row>
    <row r="52" ht="60" customHeight="1">
      <c r="A52" s="12" t="inlineStr">
        <is>
          <t>TC-RAM-001</t>
        </is>
      </c>
      <c r="B52" s="12" t="inlineStr">
        <is>
          <t>RAM Tracking</t>
        </is>
      </c>
      <c r="C52" s="15" t="inlineStr">
        <is>
          <t>High</t>
        </is>
      </c>
      <c r="D52" s="12" t="inlineStr">
        <is>
          <t>Positive</t>
        </is>
      </c>
      <c r="E52" s="12" t="inlineStr">
        <is>
          <t>Log RAM removal from device</t>
        </is>
      </c>
      <c r="F52" s="12" t="inlineStr">
        <is>
          <t>L1/L2 Engineer logged in; device in repair</t>
        </is>
      </c>
      <c r="G52" s="12" t="inlineStr">
        <is>
          <t>1. Go to Spare Parts → RAM Tracking → Log Action
2. Action: Removed
3. Source device: OXY-TEST-00021
4. RAM: 4GB DDR4
5. Submit</t>
        </is>
      </c>
      <c r="H52" s="12" t="inlineStr">
        <is>
          <t>Action: removed | Device: OXY-TEST-00021 | RAM: 4GB | Type: DDR4</t>
        </is>
      </c>
      <c r="I52" s="12" t="inlineStr">
        <is>
          <t>RAM removal logged; entry in ram_tracking table with action=removed</t>
        </is>
      </c>
      <c r="J52" s="12" t="inlineStr"/>
      <c r="K52" s="12" t="inlineStr"/>
      <c r="L52" s="12" t="inlineStr"/>
    </row>
    <row r="53" ht="60" customHeight="1">
      <c r="A53" s="11" t="inlineStr">
        <is>
          <t>TC-RAM-002</t>
        </is>
      </c>
      <c r="B53" s="11" t="inlineStr">
        <is>
          <t>RAM Tracking</t>
        </is>
      </c>
      <c r="C53" s="15" t="inlineStr">
        <is>
          <t>High</t>
        </is>
      </c>
      <c r="D53" s="11" t="inlineStr">
        <is>
          <t>Positive</t>
        </is>
      </c>
      <c r="E53" s="11" t="inlineStr">
        <is>
          <t>Log RAM added to device</t>
        </is>
      </c>
      <c r="F53" s="11" t="inlineStr">
        <is>
          <t>RAM tracking — add</t>
        </is>
      </c>
      <c r="G53" s="11" t="inlineStr">
        <is>
          <t>1. Action: Added
2. Destination device: OXY-TEST-00022
3. RAM: 8GB DDR4</t>
        </is>
      </c>
      <c r="H53" s="11" t="inlineStr">
        <is>
          <t>Action: added | Device: OXY-TEST-00022 | RAM: 8GB | Type: DDR4</t>
        </is>
      </c>
      <c r="I53" s="11" t="inlineStr">
        <is>
          <t>RAM add logged; device's RAM spec can be updated</t>
        </is>
      </c>
      <c r="J53" s="11" t="inlineStr"/>
      <c r="K53" s="11" t="inlineStr"/>
      <c r="L53" s="11" t="inlineStr"/>
    </row>
    <row r="54" ht="60" customHeight="1">
      <c r="A54" s="12" t="inlineStr">
        <is>
          <t>TC-RAM-003</t>
        </is>
      </c>
      <c r="B54" s="12" t="inlineStr">
        <is>
          <t>RAM Tracking</t>
        </is>
      </c>
      <c r="C54" s="16" t="inlineStr">
        <is>
          <t>Medium</t>
        </is>
      </c>
      <c r="D54" s="12" t="inlineStr">
        <is>
          <t>Positive</t>
        </is>
      </c>
      <c r="E54" s="12" t="inlineStr">
        <is>
          <t>RAM tracking history viewable</t>
        </is>
      </c>
      <c r="F54" s="12" t="inlineStr">
        <is>
          <t>RAM tracking records exist</t>
        </is>
      </c>
      <c r="G54" s="12" t="inlineStr">
        <is>
          <t>1. Go to Spare Parts → RAM Tracking
2. View log</t>
        </is>
      </c>
      <c r="H54" s="12" t="inlineStr">
        <is>
          <t>Seeded 5 RAM tracking entries</t>
        </is>
      </c>
      <c r="I54" s="12" t="inlineStr">
        <is>
          <t>All RAM actions listed: Action, Source Device, Destination Device, RAM GB, Type, By User, Date</t>
        </is>
      </c>
      <c r="J54" s="12" t="inlineStr"/>
      <c r="K54" s="12" t="inlineStr"/>
      <c r="L54" s="12" t="inlineStr"/>
    </row>
    <row r="55" ht="60" customHeight="1">
      <c r="A55" s="11" t="inlineStr">
        <is>
          <t>TC-DASH-001</t>
        </is>
      </c>
      <c r="B55" s="11" t="inlineStr">
        <is>
          <t>Dashboard</t>
        </is>
      </c>
      <c r="C55" s="15" t="inlineStr">
        <is>
          <t>High</t>
        </is>
      </c>
      <c r="D55" s="11" t="inlineStr">
        <is>
          <t>Positive</t>
        </is>
      </c>
      <c r="E55" s="11" t="inlineStr">
        <is>
          <t>Dashboard shows correct stage counts</t>
        </is>
      </c>
      <c r="F55" s="11" t="inlineStr">
        <is>
          <t>Seeded data loaded; any user logged in</t>
        </is>
      </c>
      <c r="G55" s="11" t="inlineStr">
        <is>
          <t>1. Login
2. Go to Dashboard</t>
        </is>
      </c>
      <c r="H55" s="11" t="inlineStr">
        <is>
          <t>Seeded data: 10 IQC, 10 Stock In, 10 L1, 10 L2, 10 QC Check, 15 Ready, 25 Sold</t>
        </is>
      </c>
      <c r="I55" s="11" t="inlineStr">
        <is>
          <t>Stage count cards show numbers matching database; counts are accurate</t>
        </is>
      </c>
      <c r="J55" s="11" t="inlineStr"/>
      <c r="K55" s="11" t="inlineStr"/>
      <c r="L55" s="11" t="inlineStr"/>
    </row>
    <row r="56" ht="60" customHeight="1">
      <c r="A56" s="12" t="inlineStr">
        <is>
          <t>TC-DASH-002</t>
        </is>
      </c>
      <c r="B56" s="12" t="inlineStr">
        <is>
          <t>Dashboard</t>
        </is>
      </c>
      <c r="C56" s="15" t="inlineStr">
        <is>
          <t>High</t>
        </is>
      </c>
      <c r="D56" s="12" t="inlineStr">
        <is>
          <t>Positive</t>
        </is>
      </c>
      <c r="E56" s="12" t="inlineStr">
        <is>
          <t>Recent movements table on dashboard</t>
        </is>
      </c>
      <c r="F56" s="12" t="inlineStr">
        <is>
          <t>Stage movements exist</t>
        </is>
      </c>
      <c r="G56" s="12" t="inlineStr">
        <is>
          <t>1. Go to Dashboard
2. View Recent Movements section</t>
        </is>
      </c>
      <c r="H56" s="12" t="inlineStr">
        <is>
          <t>Any recent stage movement</t>
        </is>
      </c>
      <c r="I56" s="12" t="inlineStr">
        <is>
          <t>Last 20 stage movements shown: Device, From, To, By, Time</t>
        </is>
      </c>
      <c r="J56" s="12" t="inlineStr"/>
      <c r="K56" s="12" t="inlineStr"/>
      <c r="L56" s="12" t="inlineStr"/>
    </row>
    <row r="57" ht="60" customHeight="1">
      <c r="A57" s="11" t="inlineStr">
        <is>
          <t>TC-DASH-003</t>
        </is>
      </c>
      <c r="B57" s="11" t="inlineStr">
        <is>
          <t>Dashboard</t>
        </is>
      </c>
      <c r="C57" s="16" t="inlineStr">
        <is>
          <t>Medium</t>
        </is>
      </c>
      <c r="D57" s="11" t="inlineStr">
        <is>
          <t>Positive</t>
        </is>
      </c>
      <c r="E57" s="11" t="inlineStr">
        <is>
          <t>Low stock alerts on dashboard</t>
        </is>
      </c>
      <c r="F57" s="11" t="inlineStr">
        <is>
          <t>Parts with stock &lt; min exist</t>
        </is>
      </c>
      <c r="G57" s="11" t="inlineStr">
        <is>
          <t>1. Go to Dashboard
2. Check for low stock alert section</t>
        </is>
      </c>
      <c r="H57" s="11" t="inlineStr">
        <is>
          <t>Seeded parts with low stock</t>
        </is>
      </c>
      <c r="I57" s="11" t="inlineStr">
        <is>
          <t>Low-stock spare parts listed by name, category, current qty, min qty</t>
        </is>
      </c>
      <c r="J57" s="11" t="inlineStr"/>
      <c r="K57" s="11" t="inlineStr"/>
      <c r="L57" s="11" t="inlineStr"/>
    </row>
    <row r="58" ht="60" customHeight="1">
      <c r="A58" s="12" t="inlineStr">
        <is>
          <t>TC-BULK-001</t>
        </is>
      </c>
      <c r="B58" s="12" t="inlineStr">
        <is>
          <t>Bulk Upload</t>
        </is>
      </c>
      <c r="C58" s="15" t="inlineStr">
        <is>
          <t>High</t>
        </is>
      </c>
      <c r="D58" s="12" t="inlineStr">
        <is>
          <t>Positive</t>
        </is>
      </c>
      <c r="E58" s="12" t="inlineStr">
        <is>
          <t>Download lots CSV template</t>
        </is>
      </c>
      <c r="F58" s="12" t="inlineStr">
        <is>
          <t>Admin or Inv. Manager logged in</t>
        </is>
      </c>
      <c r="G58" s="12" t="inlineStr">
        <is>
          <t>1. Go to Bulk Upload
2. Click Download Template — Lots</t>
        </is>
      </c>
      <c r="H58" s="12" t="inlineStr">
        <is>
          <t>Lots template download</t>
        </is>
      </c>
      <c r="I58" s="12" t="inlineStr">
        <is>
          <t>CSV file downloaded with correct headers: lot_number, supplier_name, buying_price, qty, purchase_date, invoice_no, notes</t>
        </is>
      </c>
      <c r="J58" s="12" t="inlineStr"/>
      <c r="K58" s="12" t="inlineStr"/>
      <c r="L58" s="12" t="inlineStr"/>
    </row>
    <row r="59" ht="60" customHeight="1">
      <c r="A59" s="11" t="inlineStr">
        <is>
          <t>TC-BULK-002</t>
        </is>
      </c>
      <c r="B59" s="11" t="inlineStr">
        <is>
          <t>Bulk Upload</t>
        </is>
      </c>
      <c r="C59" s="14" t="inlineStr">
        <is>
          <t>Critical</t>
        </is>
      </c>
      <c r="D59" s="11" t="inlineStr">
        <is>
          <t>Positive</t>
        </is>
      </c>
      <c r="E59" s="11" t="inlineStr">
        <is>
          <t>Upload valid lots CSV</t>
        </is>
      </c>
      <c r="F59" s="11" t="inlineStr">
        <is>
          <t>Valid lots.csv prepared</t>
        </is>
      </c>
      <c r="G59" s="11" t="inlineStr">
        <is>
          <t>1. Go to Bulk Upload
2. Select Lots section
3. Upload valid CSV with 3 new lots
4. Submit</t>
        </is>
      </c>
      <c r="H59" s="11" t="inlineStr">
        <is>
          <t>CSV: 3 rows with valid data; new lot numbers</t>
        </is>
      </c>
      <c r="I59" s="11" t="inlineStr">
        <is>
          <t>3 lots created; success count = 3; error count = 0; lots appear in Lots list</t>
        </is>
      </c>
      <c r="J59" s="11" t="inlineStr"/>
      <c r="K59" s="11" t="inlineStr"/>
      <c r="L59" s="11" t="inlineStr"/>
    </row>
    <row r="60" ht="60" customHeight="1">
      <c r="A60" s="12" t="inlineStr">
        <is>
          <t>TC-BULK-003</t>
        </is>
      </c>
      <c r="B60" s="12" t="inlineStr">
        <is>
          <t>Bulk Upload</t>
        </is>
      </c>
      <c r="C60" s="15" t="inlineStr">
        <is>
          <t>High</t>
        </is>
      </c>
      <c r="D60" s="12" t="inlineStr">
        <is>
          <t>Negative</t>
        </is>
      </c>
      <c r="E60" s="12" t="inlineStr">
        <is>
          <t>Bulk upload with duplicate lot number</t>
        </is>
      </c>
      <c r="F60" s="12" t="inlineStr">
        <is>
          <t>LOT-UAT-001 already exists</t>
        </is>
      </c>
      <c r="G60" s="12" t="inlineStr">
        <is>
          <t>1. Upload CSV containing LOT-UAT-001 (existing) + 2 new lots</t>
        </is>
      </c>
      <c r="H60" s="12" t="inlineStr">
        <is>
          <t>CSV: 1 duplicate + 2 new</t>
        </is>
      </c>
      <c r="I60" s="12" t="inlineStr">
        <is>
          <t>2 new lots created; duplicate row fails with error message; error count = 1</t>
        </is>
      </c>
      <c r="J60" s="12" t="inlineStr"/>
      <c r="K60" s="12" t="inlineStr"/>
      <c r="L60" s="12" t="inlineStr"/>
    </row>
    <row r="61" ht="60" customHeight="1">
      <c r="A61" s="11" t="inlineStr">
        <is>
          <t>TC-BULK-004</t>
        </is>
      </c>
      <c r="B61" s="11" t="inlineStr">
        <is>
          <t>Bulk Upload</t>
        </is>
      </c>
      <c r="C61" s="14" t="inlineStr">
        <is>
          <t>Critical</t>
        </is>
      </c>
      <c r="D61" s="11" t="inlineStr">
        <is>
          <t>Positive</t>
        </is>
      </c>
      <c r="E61" s="11" t="inlineStr">
        <is>
          <t>Upload valid devices CSV</t>
        </is>
      </c>
      <c r="F61" s="11" t="inlineStr">
        <is>
          <t>Lot LOT-UAT-001 exists; valid devices CSV prepared</t>
        </is>
      </c>
      <c r="G61" s="11" t="inlineStr">
        <is>
          <t>1. Go to Bulk Upload → Devices
2. Upload CSV with 5 new device records</t>
        </is>
      </c>
      <c r="H61" s="11" t="inlineStr">
        <is>
          <t>5 device rows with valid barcodes and LOT-UAT-001</t>
        </is>
      </c>
      <c r="I61" s="11" t="inlineStr">
        <is>
          <t>5 devices created at IQC stage; all appear in IQC list</t>
        </is>
      </c>
      <c r="J61" s="11" t="inlineStr"/>
      <c r="K61" s="11" t="inlineStr"/>
      <c r="L61" s="11" t="inlineStr"/>
    </row>
    <row r="62" ht="60" customHeight="1">
      <c r="A62" s="12" t="inlineStr">
        <is>
          <t>TC-BULK-005</t>
        </is>
      </c>
      <c r="B62" s="12" t="inlineStr">
        <is>
          <t>Bulk Upload</t>
        </is>
      </c>
      <c r="C62" s="15" t="inlineStr">
        <is>
          <t>High</t>
        </is>
      </c>
      <c r="D62" s="12" t="inlineStr">
        <is>
          <t>Negative</t>
        </is>
      </c>
      <c r="E62" s="12" t="inlineStr">
        <is>
          <t>Upload devices CSV with non-existent lot</t>
        </is>
      </c>
      <c r="F62" s="12" t="inlineStr"/>
      <c r="G62" s="12" t="inlineStr">
        <is>
          <t>1. Upload devices CSV where lot_number does not exist in system</t>
        </is>
      </c>
      <c r="H62" s="12" t="inlineStr">
        <is>
          <t>lot_number: LOT-DOES-NOT-EXIST</t>
        </is>
      </c>
      <c r="I62" s="12" t="inlineStr">
        <is>
          <t>Rows with invalid lot fail; error report shows 'Lot not found'; valid rows still imported</t>
        </is>
      </c>
      <c r="J62" s="12" t="inlineStr"/>
      <c r="K62" s="12" t="inlineStr"/>
      <c r="L62" s="12" t="inlineStr"/>
    </row>
    <row r="63" ht="60" customHeight="1">
      <c r="A63" s="11" t="inlineStr">
        <is>
          <t>TC-BULK-006</t>
        </is>
      </c>
      <c r="B63" s="11" t="inlineStr">
        <is>
          <t>Bulk Upload</t>
        </is>
      </c>
      <c r="C63" s="15" t="inlineStr">
        <is>
          <t>High</t>
        </is>
      </c>
      <c r="D63" s="11" t="inlineStr">
        <is>
          <t>Positive</t>
        </is>
      </c>
      <c r="E63" s="11" t="inlineStr">
        <is>
          <t>Upload valid spare parts CSV</t>
        </is>
      </c>
      <c r="F63" s="11" t="inlineStr"/>
      <c r="G63" s="11" t="inlineStr">
        <is>
          <t>1. Go to Bulk Upload → Spare Parts
2. Upload CSV with 3 new parts</t>
        </is>
      </c>
      <c r="H63" s="11" t="inlineStr">
        <is>
          <t>3 part rows with unique part codes</t>
        </is>
      </c>
      <c r="I63" s="11" t="inlineStr">
        <is>
          <t>3 parts created; appear in spare parts catalogue</t>
        </is>
      </c>
      <c r="J63" s="11" t="inlineStr"/>
      <c r="K63" s="11" t="inlineStr"/>
      <c r="L63" s="11" t="inlineStr"/>
    </row>
    <row r="64" ht="60" customHeight="1">
      <c r="A64" s="12" t="inlineStr">
        <is>
          <t>TC-MASTER-001</t>
        </is>
      </c>
      <c r="B64" s="12" t="inlineStr">
        <is>
          <t>Master Data</t>
        </is>
      </c>
      <c r="C64" s="15" t="inlineStr">
        <is>
          <t>High</t>
        </is>
      </c>
      <c r="D64" s="12" t="inlineStr">
        <is>
          <t>Positive</t>
        </is>
      </c>
      <c r="E64" s="12" t="inlineStr">
        <is>
          <t>Add new brand to master data</t>
        </is>
      </c>
      <c r="F64" s="12" t="inlineStr">
        <is>
          <t>Admin logged in</t>
        </is>
      </c>
      <c r="G64" s="12" t="inlineStr">
        <is>
          <t>1. Go to Admin → Master Data
2. Category: brand
3. Value: Samsung
4. Click Add</t>
        </is>
      </c>
      <c r="H64" s="12" t="inlineStr">
        <is>
          <t>Category: brand | Value: Samsung</t>
        </is>
      </c>
      <c r="I64" s="12" t="inlineStr">
        <is>
          <t>Samsung added to brand list; appears in IQC form brand dropdown immediately</t>
        </is>
      </c>
      <c r="J64" s="12" t="inlineStr"/>
      <c r="K64" s="12" t="inlineStr"/>
      <c r="L64" s="12" t="inlineStr"/>
    </row>
    <row r="65" ht="60" customHeight="1">
      <c r="A65" s="11" t="inlineStr">
        <is>
          <t>TC-MASTER-002</t>
        </is>
      </c>
      <c r="B65" s="11" t="inlineStr">
        <is>
          <t>Master Data</t>
        </is>
      </c>
      <c r="C65" s="15" t="inlineStr">
        <is>
          <t>High</t>
        </is>
      </c>
      <c r="D65" s="11" t="inlineStr">
        <is>
          <t>Positive</t>
        </is>
      </c>
      <c r="E65" s="11" t="inlineStr">
        <is>
          <t>Disable a master data value</t>
        </is>
      </c>
      <c r="F65" s="11" t="inlineStr">
        <is>
          <t>Admin logged in; value exists</t>
        </is>
      </c>
      <c r="G65" s="11" t="inlineStr">
        <is>
          <t>1. Go to Master Data
2. Find a value
3. Click Disable (toggle)</t>
        </is>
      </c>
      <c r="H65" s="11" t="inlineStr">
        <is>
          <t>Any active master data value</t>
        </is>
      </c>
      <c r="I65" s="11" t="inlineStr">
        <is>
          <t>Value marked inactive; no longer appears in form dropdowns; still visible in admin with 'disabled' indicator</t>
        </is>
      </c>
      <c r="J65" s="11" t="inlineStr"/>
      <c r="K65" s="11" t="inlineStr"/>
      <c r="L65" s="11" t="inlineStr"/>
    </row>
    <row r="66" ht="60" customHeight="1">
      <c r="A66" s="12" t="inlineStr">
        <is>
          <t>TC-MASTER-003</t>
        </is>
      </c>
      <c r="B66" s="12" t="inlineStr">
        <is>
          <t>Master Data</t>
        </is>
      </c>
      <c r="C66" s="16" t="inlineStr">
        <is>
          <t>Medium</t>
        </is>
      </c>
      <c r="D66" s="12" t="inlineStr">
        <is>
          <t>Positive</t>
        </is>
      </c>
      <c r="E66" s="12" t="inlineStr">
        <is>
          <t>Delete a master data value</t>
        </is>
      </c>
      <c r="F66" s="12" t="inlineStr">
        <is>
          <t>Admin logged in; value exists and is not in use</t>
        </is>
      </c>
      <c r="G66" s="12" t="inlineStr">
        <is>
          <t>1. Go to Master Data
2. Click Delete on an unused value
3. Confirm</t>
        </is>
      </c>
      <c r="H66" s="12" t="inlineStr">
        <is>
          <t>Unused master data value</t>
        </is>
      </c>
      <c r="I66" s="12" t="inlineStr">
        <is>
          <t>Value permanently removed from master data table</t>
        </is>
      </c>
      <c r="J66" s="12" t="inlineStr"/>
      <c r="K66" s="12" t="inlineStr"/>
      <c r="L66" s="12" t="inlineStr"/>
    </row>
    <row r="67" ht="60" customHeight="1">
      <c r="A67" s="11" t="inlineStr">
        <is>
          <t>TC-MASTER-004</t>
        </is>
      </c>
      <c r="B67" s="11" t="inlineStr">
        <is>
          <t>Master Data</t>
        </is>
      </c>
      <c r="C67" s="16" t="inlineStr">
        <is>
          <t>Medium</t>
        </is>
      </c>
      <c r="D67" s="11" t="inlineStr">
        <is>
          <t>Negative</t>
        </is>
      </c>
      <c r="E67" s="11" t="inlineStr">
        <is>
          <t>Duplicate master data value rejected</t>
        </is>
      </c>
      <c r="F67" s="11" t="inlineStr">
        <is>
          <t>Brand 'HP' already exists</t>
        </is>
      </c>
      <c r="G67" s="11" t="inlineStr">
        <is>
          <t>1. Go to Master Data
2. Add brand: HP</t>
        </is>
      </c>
      <c r="H67" s="11" t="inlineStr">
        <is>
          <t>Category: brand | Value: HP (duplicate)</t>
        </is>
      </c>
      <c r="I67" s="11" t="inlineStr">
        <is>
          <t>Error shown: 'Value already exists in this category'; not added</t>
        </is>
      </c>
      <c r="J67" s="11" t="inlineStr"/>
      <c r="K67" s="11" t="inlineStr"/>
      <c r="L67" s="11" t="inlineStr"/>
    </row>
    <row r="68" ht="60" customHeight="1">
      <c r="A68" s="12" t="inlineStr">
        <is>
          <t>TC-ADMIN-001</t>
        </is>
      </c>
      <c r="B68" s="12" t="inlineStr">
        <is>
          <t>Admin / Users</t>
        </is>
      </c>
      <c r="C68" s="14" t="inlineStr">
        <is>
          <t>Critical</t>
        </is>
      </c>
      <c r="D68" s="12" t="inlineStr">
        <is>
          <t>Positive</t>
        </is>
      </c>
      <c r="E68" s="12" t="inlineStr">
        <is>
          <t>Create new user</t>
        </is>
      </c>
      <c r="F68" s="12" t="inlineStr">
        <is>
          <t>Admin logged in</t>
        </is>
      </c>
      <c r="G68" s="12" t="inlineStr">
        <is>
          <t>1. Go to Admin → Users → New User
2. Fill all fields
3. Save</t>
        </is>
      </c>
      <c r="H68" s="12" t="inlineStr">
        <is>
          <t>Username: testeng | Full Name: Test Engineer | Role: l1_engineer | Password: Test@5678</t>
        </is>
      </c>
      <c r="I68" s="12" t="inlineStr">
        <is>
          <t>User created; appears in user list; can login with new credentials</t>
        </is>
      </c>
      <c r="J68" s="12" t="inlineStr"/>
      <c r="K68" s="12" t="inlineStr"/>
      <c r="L68" s="12" t="inlineStr"/>
    </row>
    <row r="69" ht="60" customHeight="1">
      <c r="A69" s="11" t="inlineStr">
        <is>
          <t>TC-ADMIN-002</t>
        </is>
      </c>
      <c r="B69" s="11" t="inlineStr">
        <is>
          <t>Admin / Users</t>
        </is>
      </c>
      <c r="C69" s="15" t="inlineStr">
        <is>
          <t>High</t>
        </is>
      </c>
      <c r="D69" s="11" t="inlineStr">
        <is>
          <t>Positive</t>
        </is>
      </c>
      <c r="E69" s="11" t="inlineStr">
        <is>
          <t>Edit user role</t>
        </is>
      </c>
      <c r="F69" s="11" t="inlineStr">
        <is>
          <t>Admin logged in; user testeng exists</t>
        </is>
      </c>
      <c r="G69" s="11" t="inlineStr">
        <is>
          <t>1. Go to Admin → Users
2. Edit testeng
3. Change role to l2_engineer
4. Save</t>
        </is>
      </c>
      <c r="H69" s="11" t="inlineStr">
        <is>
          <t>New role: l2_engineer</t>
        </is>
      </c>
      <c r="I69" s="11" t="inlineStr">
        <is>
          <t>Role updated; user now has l2 access; old l1 routes denied</t>
        </is>
      </c>
      <c r="J69" s="11" t="inlineStr"/>
      <c r="K69" s="11" t="inlineStr"/>
      <c r="L69" s="11" t="inlineStr"/>
    </row>
    <row r="70" ht="60" customHeight="1">
      <c r="A70" s="12" t="inlineStr">
        <is>
          <t>TC-ADMIN-003</t>
        </is>
      </c>
      <c r="B70" s="12" t="inlineStr">
        <is>
          <t>Admin / Users</t>
        </is>
      </c>
      <c r="C70" s="15" t="inlineStr">
        <is>
          <t>High</t>
        </is>
      </c>
      <c r="D70" s="12" t="inlineStr">
        <is>
          <t>Positive</t>
        </is>
      </c>
      <c r="E70" s="12" t="inlineStr">
        <is>
          <t>Deactivate user</t>
        </is>
      </c>
      <c r="F70" s="12" t="inlineStr">
        <is>
          <t>Admin logged in; user testeng active</t>
        </is>
      </c>
      <c r="G70" s="12" t="inlineStr">
        <is>
          <t>1. Go to Admin → Users
2. Deactivate testeng</t>
        </is>
      </c>
      <c r="H70" s="12" t="inlineStr">
        <is>
          <t>User: testeng</t>
        </is>
      </c>
      <c r="I70" s="12" t="inlineStr">
        <is>
          <t>User status = inactive; testeng cannot login; marked as inactive in user list</t>
        </is>
      </c>
      <c r="J70" s="12" t="inlineStr"/>
      <c r="K70" s="12" t="inlineStr"/>
      <c r="L70" s="12" t="inlineStr"/>
    </row>
    <row r="71" ht="60" customHeight="1">
      <c r="A71" s="11" t="inlineStr">
        <is>
          <t>TC-ADMIN-004</t>
        </is>
      </c>
      <c r="B71" s="11" t="inlineStr">
        <is>
          <t>Admin / Users</t>
        </is>
      </c>
      <c r="C71" s="15" t="inlineStr">
        <is>
          <t>High</t>
        </is>
      </c>
      <c r="D71" s="11" t="inlineStr">
        <is>
          <t>Positive</t>
        </is>
      </c>
      <c r="E71" s="11" t="inlineStr">
        <is>
          <t>Reactivate user</t>
        </is>
      </c>
      <c r="F71" s="11" t="inlineStr">
        <is>
          <t>User testeng is inactive</t>
        </is>
      </c>
      <c r="G71" s="11" t="inlineStr">
        <is>
          <t>1. Go to Admin → Users
2. Re-activate testeng</t>
        </is>
      </c>
      <c r="H71" s="11" t="inlineStr">
        <is>
          <t>User: testeng (inactive)</t>
        </is>
      </c>
      <c r="I71" s="11" t="inlineStr">
        <is>
          <t>User status = active; testeng can login again</t>
        </is>
      </c>
      <c r="J71" s="11" t="inlineStr"/>
      <c r="K71" s="11" t="inlineStr"/>
      <c r="L71" s="11" t="inlineStr"/>
    </row>
    <row r="72" ht="60" customHeight="1">
      <c r="A72" s="12" t="inlineStr">
        <is>
          <t>TC-ADMIN-005</t>
        </is>
      </c>
      <c r="B72" s="12" t="inlineStr">
        <is>
          <t>Admin / Users</t>
        </is>
      </c>
      <c r="C72" s="16" t="inlineStr">
        <is>
          <t>Medium</t>
        </is>
      </c>
      <c r="D72" s="12" t="inlineStr">
        <is>
          <t>Positive</t>
        </is>
      </c>
      <c r="E72" s="12" t="inlineStr">
        <is>
          <t>Login audit log records events</t>
        </is>
      </c>
      <c r="F72" s="12" t="inlineStr">
        <is>
          <t>Any user logs in and out</t>
        </is>
      </c>
      <c r="G72" s="12" t="inlineStr">
        <is>
          <t>1. Login as salesexec
2. Logout
3. Admin checks login logs</t>
        </is>
      </c>
      <c r="H72" s="12" t="inlineStr">
        <is>
          <t>user: salesexec</t>
        </is>
      </c>
      <c r="I72" s="12" t="inlineStr">
        <is>
          <t>Login and logout events recorded with: username, action, IP address, timestamp</t>
        </is>
      </c>
      <c r="J72" s="12" t="inlineStr"/>
      <c r="K72" s="12" t="inlineStr"/>
      <c r="L72" s="12" t="inlineStr"/>
    </row>
    <row r="73" ht="60" customHeight="1">
      <c r="A73" s="11" t="inlineStr">
        <is>
          <t>TC-RPT-001</t>
        </is>
      </c>
      <c r="B73" s="11" t="inlineStr">
        <is>
          <t>Reports &amp; Export</t>
        </is>
      </c>
      <c r="C73" s="15" t="inlineStr">
        <is>
          <t>High</t>
        </is>
      </c>
      <c r="D73" s="11" t="inlineStr">
        <is>
          <t>Positive</t>
        </is>
      </c>
      <c r="E73" s="11" t="inlineStr">
        <is>
          <t>Export devices CSV</t>
        </is>
      </c>
      <c r="F73" s="11" t="inlineStr">
        <is>
          <t>Devices exist in system</t>
        </is>
      </c>
      <c r="G73" s="11" t="inlineStr">
        <is>
          <t>1. Go to Reports
2. Click Export Devices CSV</t>
        </is>
      </c>
      <c r="H73" s="11" t="inlineStr">
        <is>
          <t>All devices in system</t>
        </is>
      </c>
      <c r="I73" s="11" t="inlineStr">
        <is>
          <t>CSV downloaded with columns: Barcode, Lot, Brand, Model, CPU, RAM, Storage, Grade, Stage, Floor</t>
        </is>
      </c>
      <c r="J73" s="11" t="inlineStr"/>
      <c r="K73" s="11" t="inlineStr"/>
      <c r="L73" s="11" t="inlineStr"/>
    </row>
    <row r="74" ht="60" customHeight="1">
      <c r="A74" s="12" t="inlineStr">
        <is>
          <t>TC-RPT-002</t>
        </is>
      </c>
      <c r="B74" s="12" t="inlineStr">
        <is>
          <t>Reports &amp; Export</t>
        </is>
      </c>
      <c r="C74" s="15" t="inlineStr">
        <is>
          <t>High</t>
        </is>
      </c>
      <c r="D74" s="12" t="inlineStr">
        <is>
          <t>Positive</t>
        </is>
      </c>
      <c r="E74" s="12" t="inlineStr">
        <is>
          <t>Export sales CSV</t>
        </is>
      </c>
      <c r="F74" s="12" t="inlineStr">
        <is>
          <t>Sales records exist</t>
        </is>
      </c>
      <c r="G74" s="12" t="inlineStr">
        <is>
          <t>1. Go to Reports
2. Export Sales CSV</t>
        </is>
      </c>
      <c r="H74" s="12" t="inlineStr">
        <is>
          <t>Seeded 25 sales</t>
        </is>
      </c>
      <c r="I74" s="12" t="inlineStr">
        <is>
          <t>CSV with: Sale#, Barcode, Customer, Phone, Sale Price, Payment Mode, Date, Sold By</t>
        </is>
      </c>
      <c r="J74" s="12" t="inlineStr"/>
      <c r="K74" s="12" t="inlineStr"/>
      <c r="L74" s="12" t="inlineStr"/>
    </row>
    <row r="75" ht="60" customHeight="1">
      <c r="A75" s="11" t="inlineStr">
        <is>
          <t>TC-RPT-003</t>
        </is>
      </c>
      <c r="B75" s="11" t="inlineStr">
        <is>
          <t>Reports &amp; Export</t>
        </is>
      </c>
      <c r="C75" s="15" t="inlineStr">
        <is>
          <t>High</t>
        </is>
      </c>
      <c r="D75" s="11" t="inlineStr">
        <is>
          <t>Positive</t>
        </is>
      </c>
      <c r="E75" s="11" t="inlineStr">
        <is>
          <t>Export spare parts consumption CSV</t>
        </is>
      </c>
      <c r="F75" s="11" t="inlineStr">
        <is>
          <t>Consumption records exist</t>
        </is>
      </c>
      <c r="G75" s="11" t="inlineStr">
        <is>
          <t>1. Go to Reports
2. Export Consumption CSV</t>
        </is>
      </c>
      <c r="H75" s="11" t="inlineStr">
        <is>
          <t>Seeded consumption data</t>
        </is>
      </c>
      <c r="I75" s="11" t="inlineStr">
        <is>
          <t>CSV with: Device, Part, Category, Qty, Unit Cost, Total Cost, Stage, Used By, Date</t>
        </is>
      </c>
      <c r="J75" s="11" t="inlineStr"/>
      <c r="K75" s="11" t="inlineStr"/>
      <c r="L75" s="11" t="inlineStr"/>
    </row>
    <row r="76" ht="60" customHeight="1">
      <c r="A76" s="12" t="inlineStr">
        <is>
          <t>TC-RPT-004</t>
        </is>
      </c>
      <c r="B76" s="12" t="inlineStr">
        <is>
          <t>Reports &amp; Export</t>
        </is>
      </c>
      <c r="C76" s="16" t="inlineStr">
        <is>
          <t>Medium</t>
        </is>
      </c>
      <c r="D76" s="12" t="inlineStr">
        <is>
          <t>Positive</t>
        </is>
      </c>
      <c r="E76" s="12" t="inlineStr">
        <is>
          <t>Export stage movements CSV</t>
        </is>
      </c>
      <c r="F76" s="12" t="inlineStr">
        <is>
          <t>Stage movements exist</t>
        </is>
      </c>
      <c r="G76" s="12" t="inlineStr">
        <is>
          <t>1. Go to Reports
2. Export Movements CSV</t>
        </is>
      </c>
      <c r="H76" s="12" t="inlineStr">
        <is>
          <t>Stage movements audit trail</t>
        </is>
      </c>
      <c r="I76" s="12" t="inlineStr">
        <is>
          <t>CSV with: Device, From Stage, To Stage, Moved By, Moved At, Notes</t>
        </is>
      </c>
      <c r="J76" s="12" t="inlineStr"/>
      <c r="K76" s="12" t="inlineStr"/>
      <c r="L76" s="12" t="inlineStr"/>
    </row>
    <row r="77" ht="60" customHeight="1">
      <c r="A77" s="11" t="inlineStr">
        <is>
          <t>TC-SEC-001</t>
        </is>
      </c>
      <c r="B77" s="11" t="inlineStr">
        <is>
          <t>Security &amp; Access</t>
        </is>
      </c>
      <c r="C77" s="14" t="inlineStr">
        <is>
          <t>Critical</t>
        </is>
      </c>
      <c r="D77" s="11" t="inlineStr">
        <is>
          <t>Security</t>
        </is>
      </c>
      <c r="E77" s="11" t="inlineStr">
        <is>
          <t>Direct URL access without authentication</t>
        </is>
      </c>
      <c r="F77" s="11" t="inlineStr">
        <is>
          <t>Not logged in</t>
        </is>
      </c>
      <c r="G77" s="11" t="inlineStr">
        <is>
          <t>1. Close browser
2. Navigate directly to http://&lt;server&gt;/dashboard
3. Observe redirect</t>
        </is>
      </c>
      <c r="H77" s="11" t="inlineStr">
        <is>
          <t>No session cookie</t>
        </is>
      </c>
      <c r="I77" s="11" t="inlineStr">
        <is>
          <t>Redirected to login page; cannot access any protected page without authentication</t>
        </is>
      </c>
      <c r="J77" s="11" t="inlineStr"/>
      <c r="K77" s="11" t="inlineStr"/>
      <c r="L77" s="11" t="inlineStr"/>
    </row>
    <row r="78" ht="60" customHeight="1">
      <c r="A78" s="12" t="inlineStr">
        <is>
          <t>TC-SEC-002</t>
        </is>
      </c>
      <c r="B78" s="12" t="inlineStr">
        <is>
          <t>Security &amp; Access</t>
        </is>
      </c>
      <c r="C78" s="14" t="inlineStr">
        <is>
          <t>Critical</t>
        </is>
      </c>
      <c r="D78" s="12" t="inlineStr">
        <is>
          <t>Security</t>
        </is>
      </c>
      <c r="E78" s="12" t="inlineStr">
        <is>
          <t>L1 engineer cannot access Sales module</t>
        </is>
      </c>
      <c r="F78" s="12" t="inlineStr">
        <is>
          <t>L1 Engineer logged in</t>
        </is>
      </c>
      <c r="G78" s="12" t="inlineStr">
        <is>
          <t>1. Login as l1eng
2. Navigate to /sales</t>
        </is>
      </c>
      <c r="H78" s="12" t="inlineStr">
        <is>
          <t>user: l1eng | pwd: Test@1234</t>
        </is>
      </c>
      <c r="I78" s="12" t="inlineStr">
        <is>
          <t>403 error or redirect; /sales page not accessible to L1 engineer</t>
        </is>
      </c>
      <c r="J78" s="12" t="inlineStr"/>
      <c r="K78" s="12" t="inlineStr"/>
      <c r="L78" s="12" t="inlineStr"/>
    </row>
    <row r="79" ht="60" customHeight="1">
      <c r="A79" s="11" t="inlineStr">
        <is>
          <t>TC-SEC-003</t>
        </is>
      </c>
      <c r="B79" s="11" t="inlineStr">
        <is>
          <t>Security &amp; Access</t>
        </is>
      </c>
      <c r="C79" s="15" t="inlineStr">
        <is>
          <t>High</t>
        </is>
      </c>
      <c r="D79" s="11" t="inlineStr">
        <is>
          <t>Security</t>
        </is>
      </c>
      <c r="E79" s="11" t="inlineStr">
        <is>
          <t>Spare Parts Manager cannot access Admin</t>
        </is>
      </c>
      <c r="F79" s="11" t="inlineStr">
        <is>
          <t>Spare Parts Manager logged in</t>
        </is>
      </c>
      <c r="G79" s="11" t="inlineStr">
        <is>
          <t>1. Login as spares1
2. Navigate to /admin</t>
        </is>
      </c>
      <c r="H79" s="11" t="inlineStr">
        <is>
          <t>user: spares1 | pwd: Test@1234</t>
        </is>
      </c>
      <c r="I79" s="11" t="inlineStr">
        <is>
          <t>403 error or redirect; Admin page not accessible</t>
        </is>
      </c>
      <c r="J79" s="11" t="inlineStr"/>
      <c r="K79" s="11" t="inlineStr"/>
      <c r="L79" s="11" t="inlineStr"/>
    </row>
    <row r="80" ht="60" customHeight="1">
      <c r="A80" s="12" t="inlineStr">
        <is>
          <t>TC-SEC-004</t>
        </is>
      </c>
      <c r="B80" s="12" t="inlineStr">
        <is>
          <t>Security &amp; Access</t>
        </is>
      </c>
      <c r="C80" s="15" t="inlineStr">
        <is>
          <t>High</t>
        </is>
      </c>
      <c r="D80" s="12" t="inlineStr">
        <is>
          <t>Security</t>
        </is>
      </c>
      <c r="E80" s="12" t="inlineStr">
        <is>
          <t>Sales user cannot create lots</t>
        </is>
      </c>
      <c r="F80" s="12" t="inlineStr">
        <is>
          <t>Sales user logged in</t>
        </is>
      </c>
      <c r="G80" s="12" t="inlineStr">
        <is>
          <t>1. Login as salesexec
2. Navigate to /lots/new</t>
        </is>
      </c>
      <c r="H80" s="12" t="inlineStr">
        <is>
          <t>user: salesexec | pwd: Test@1234</t>
        </is>
      </c>
      <c r="I80" s="12" t="inlineStr">
        <is>
          <t>403 error; Sales user cannot create or view lots</t>
        </is>
      </c>
      <c r="J80" s="12" t="inlineStr"/>
      <c r="K80" s="12" t="inlineStr"/>
      <c r="L80" s="12" t="inlineStr"/>
    </row>
    <row r="81" ht="60" customHeight="1">
      <c r="A81" s="11" t="inlineStr">
        <is>
          <t>TC-SEC-005</t>
        </is>
      </c>
      <c r="B81" s="11" t="inlineStr">
        <is>
          <t>Security &amp; Access</t>
        </is>
      </c>
      <c r="C81" s="16" t="inlineStr">
        <is>
          <t>Medium</t>
        </is>
      </c>
      <c r="D81" s="11" t="inlineStr">
        <is>
          <t>Security</t>
        </is>
      </c>
      <c r="E81" s="11" t="inlineStr">
        <is>
          <t>Session expires after inactivity</t>
        </is>
      </c>
      <c r="F81" s="11" t="inlineStr">
        <is>
          <t>User logged in</t>
        </is>
      </c>
      <c r="G81" s="11" t="inlineStr">
        <is>
          <t>1. Login
2. Wait 20 minutes without activity
3. Try to access a page</t>
        </is>
      </c>
      <c r="H81" s="11" t="inlineStr">
        <is>
          <t>JWT access token expires after 15 min</t>
        </is>
      </c>
      <c r="I81" s="11" t="inlineStr">
        <is>
          <t>Either auto-refreshed via refresh token, or redirected to login</t>
        </is>
      </c>
      <c r="J81" s="11" t="inlineStr"/>
      <c r="K81" s="11" t="inlineStr"/>
      <c r="L81" s="11" t="inlineStr"/>
    </row>
  </sheetData>
  <autoFilter ref="A1:L1"/>
  <dataValidations count="2">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showDropDown="0" showInputMessage="0" showErrorMessage="0" allowBlank="1" type="list">
      <formula1>"Pass,Fail,Blocked,Not Tested,N/A"</formula1>
    </dataValidation>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showDropDown="0" showInputMessage="0" showErrorMessage="0" allowBlank="1" type="list">
      <formula1>"Critical,High,Medium,Low"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1"/>
  <sheetViews>
    <sheetView showGridLines="0" workbookViewId="0">
      <pane ySplit="1" topLeftCell="A2" activePane="bottomLeft" state="frozen"/>
      <selection pane="bottomLeft" activeCell="A1" sqref="A1"/>
    </sheetView>
  </sheetViews>
  <sheetFormatPr baseColWidth="8" defaultRowHeight="15"/>
  <cols>
    <col width="12" customWidth="1" min="1" max="1"/>
    <col width="18" customWidth="1" min="2" max="2"/>
    <col width="10" customWidth="1" min="3" max="3"/>
    <col width="45" customWidth="1" min="4" max="4"/>
    <col width="18" customWidth="1" min="5" max="5"/>
    <col width="16" customWidth="1" min="6" max="6"/>
    <col width="12" customWidth="1" min="7" max="7"/>
    <col width="14" customWidth="1" min="8" max="8"/>
    <col width="30" customWidth="1" min="9" max="9"/>
  </cols>
  <sheetData>
    <row r="1" ht="30" customHeight="1">
      <c r="A1" s="17" t="inlineStr">
        <is>
          <t>TC ID</t>
        </is>
      </c>
      <c r="B1" s="17" t="inlineStr">
        <is>
          <t>Module</t>
        </is>
      </c>
      <c r="C1" s="17" t="inlineStr">
        <is>
          <t>Priority</t>
        </is>
      </c>
      <c r="D1" s="17" t="inlineStr">
        <is>
          <t>Test Scenario</t>
        </is>
      </c>
      <c r="E1" s="17" t="inlineStr">
        <is>
          <t>Executed By</t>
        </is>
      </c>
      <c r="F1" s="17" t="inlineStr">
        <is>
          <t>Execution Date</t>
        </is>
      </c>
      <c r="G1" s="17" t="inlineStr">
        <is>
          <t>Pass / Fail</t>
        </is>
      </c>
      <c r="H1" s="17" t="inlineStr">
        <is>
          <t>Defect Ref</t>
        </is>
      </c>
      <c r="I1" s="17" t="inlineStr">
        <is>
          <t>Remarks</t>
        </is>
      </c>
    </row>
    <row r="2" ht="35" customHeight="1">
      <c r="A2" s="12" t="inlineStr">
        <is>
          <t>TC-AUTH-001</t>
        </is>
      </c>
      <c r="B2" s="12" t="inlineStr">
        <is>
          <t>Authentication</t>
        </is>
      </c>
      <c r="C2" s="14" t="inlineStr">
        <is>
          <t>Critical</t>
        </is>
      </c>
      <c r="D2" s="12" t="inlineStr">
        <is>
          <t>Valid admin login</t>
        </is>
      </c>
      <c r="E2" s="12" t="inlineStr"/>
      <c r="F2" s="12" t="inlineStr"/>
      <c r="G2" s="12" t="inlineStr"/>
      <c r="H2" s="12" t="inlineStr"/>
      <c r="I2" s="12" t="inlineStr"/>
    </row>
    <row r="3" ht="35" customHeight="1">
      <c r="A3" s="11" t="inlineStr">
        <is>
          <t>TC-AUTH-002</t>
        </is>
      </c>
      <c r="B3" s="11" t="inlineStr">
        <is>
          <t>Authentication</t>
        </is>
      </c>
      <c r="C3" s="14" t="inlineStr">
        <is>
          <t>Critical</t>
        </is>
      </c>
      <c r="D3" s="11" t="inlineStr">
        <is>
          <t>Invalid password login</t>
        </is>
      </c>
      <c r="E3" s="11" t="inlineStr"/>
      <c r="F3" s="11" t="inlineStr"/>
      <c r="G3" s="11" t="inlineStr"/>
      <c r="H3" s="11" t="inlineStr"/>
      <c r="I3" s="11" t="inlineStr"/>
    </row>
    <row r="4" ht="35" customHeight="1">
      <c r="A4" s="12" t="inlineStr">
        <is>
          <t>TC-AUTH-003</t>
        </is>
      </c>
      <c r="B4" s="12" t="inlineStr">
        <is>
          <t>Authentication</t>
        </is>
      </c>
      <c r="C4" s="14" t="inlineStr">
        <is>
          <t>Critical</t>
        </is>
      </c>
      <c r="D4" s="12" t="inlineStr">
        <is>
          <t>Non-existent user login</t>
        </is>
      </c>
      <c r="E4" s="12" t="inlineStr"/>
      <c r="F4" s="12" t="inlineStr"/>
      <c r="G4" s="12" t="inlineStr"/>
      <c r="H4" s="12" t="inlineStr"/>
      <c r="I4" s="12" t="inlineStr"/>
    </row>
    <row r="5" ht="35" customHeight="1">
      <c r="A5" s="11" t="inlineStr">
        <is>
          <t>TC-AUTH-004</t>
        </is>
      </c>
      <c r="B5" s="11" t="inlineStr">
        <is>
          <t>Authentication</t>
        </is>
      </c>
      <c r="C5" s="15" t="inlineStr">
        <is>
          <t>High</t>
        </is>
      </c>
      <c r="D5" s="11" t="inlineStr">
        <is>
          <t>Deactivated user cannot login</t>
        </is>
      </c>
      <c r="E5" s="11" t="inlineStr"/>
      <c r="F5" s="11" t="inlineStr"/>
      <c r="G5" s="11" t="inlineStr"/>
      <c r="H5" s="11" t="inlineStr"/>
      <c r="I5" s="11" t="inlineStr"/>
    </row>
    <row r="6" ht="35" customHeight="1">
      <c r="A6" s="12" t="inlineStr">
        <is>
          <t>TC-AUTH-005</t>
        </is>
      </c>
      <c r="B6" s="12" t="inlineStr">
        <is>
          <t>Authentication</t>
        </is>
      </c>
      <c r="C6" s="15" t="inlineStr">
        <is>
          <t>High</t>
        </is>
      </c>
      <c r="D6" s="12" t="inlineStr">
        <is>
          <t>Logout clears session</t>
        </is>
      </c>
      <c r="E6" s="12" t="inlineStr"/>
      <c r="F6" s="12" t="inlineStr"/>
      <c r="G6" s="12" t="inlineStr"/>
      <c r="H6" s="12" t="inlineStr"/>
      <c r="I6" s="12" t="inlineStr"/>
    </row>
    <row r="7" ht="35" customHeight="1">
      <c r="A7" s="11" t="inlineStr">
        <is>
          <t>TC-AUTH-006</t>
        </is>
      </c>
      <c r="B7" s="11" t="inlineStr">
        <is>
          <t>Authentication</t>
        </is>
      </c>
      <c r="C7" s="15" t="inlineStr">
        <is>
          <t>High</t>
        </is>
      </c>
      <c r="D7" s="11" t="inlineStr">
        <is>
          <t>Role-based page access — Sales cannot access Admin</t>
        </is>
      </c>
      <c r="E7" s="11" t="inlineStr"/>
      <c r="F7" s="11" t="inlineStr"/>
      <c r="G7" s="11" t="inlineStr"/>
      <c r="H7" s="11" t="inlineStr"/>
      <c r="I7" s="11" t="inlineStr"/>
    </row>
    <row r="8" ht="35" customHeight="1">
      <c r="A8" s="12" t="inlineStr">
        <is>
          <t>TC-AUTH-007</t>
        </is>
      </c>
      <c r="B8" s="12" t="inlineStr">
        <is>
          <t>Authentication</t>
        </is>
      </c>
      <c r="C8" s="15" t="inlineStr">
        <is>
          <t>High</t>
        </is>
      </c>
      <c r="D8" s="12" t="inlineStr">
        <is>
          <t>Role-based access — IQC cannot access Sales</t>
        </is>
      </c>
      <c r="E8" s="12" t="inlineStr"/>
      <c r="F8" s="12" t="inlineStr"/>
      <c r="G8" s="12" t="inlineStr"/>
      <c r="H8" s="12" t="inlineStr"/>
      <c r="I8" s="12" t="inlineStr"/>
    </row>
    <row r="9" ht="35" customHeight="1">
      <c r="A9" s="11" t="inlineStr">
        <is>
          <t>TC-LOT-001</t>
        </is>
      </c>
      <c r="B9" s="11" t="inlineStr">
        <is>
          <t>Lot Management</t>
        </is>
      </c>
      <c r="C9" s="14" t="inlineStr">
        <is>
          <t>Critical</t>
        </is>
      </c>
      <c r="D9" s="11" t="inlineStr">
        <is>
          <t>Create new lot</t>
        </is>
      </c>
      <c r="E9" s="11" t="inlineStr"/>
      <c r="F9" s="11" t="inlineStr"/>
      <c r="G9" s="11" t="inlineStr"/>
      <c r="H9" s="11" t="inlineStr"/>
      <c r="I9" s="11" t="inlineStr"/>
    </row>
    <row r="10" ht="35" customHeight="1">
      <c r="A10" s="12" t="inlineStr">
        <is>
          <t>TC-LOT-002</t>
        </is>
      </c>
      <c r="B10" s="12" t="inlineStr">
        <is>
          <t>Lot Management</t>
        </is>
      </c>
      <c r="C10" s="15" t="inlineStr">
        <is>
          <t>High</t>
        </is>
      </c>
      <c r="D10" s="12" t="inlineStr">
        <is>
          <t>Duplicate lot number rejected</t>
        </is>
      </c>
      <c r="E10" s="12" t="inlineStr"/>
      <c r="F10" s="12" t="inlineStr"/>
      <c r="G10" s="12" t="inlineStr"/>
      <c r="H10" s="12" t="inlineStr"/>
      <c r="I10" s="12" t="inlineStr"/>
    </row>
    <row r="11" ht="35" customHeight="1">
      <c r="A11" s="11" t="inlineStr">
        <is>
          <t>TC-LOT-003</t>
        </is>
      </c>
      <c r="B11" s="11" t="inlineStr">
        <is>
          <t>Lot Management</t>
        </is>
      </c>
      <c r="C11" s="15" t="inlineStr">
        <is>
          <t>High</t>
        </is>
      </c>
      <c r="D11" s="11" t="inlineStr">
        <is>
          <t>View devices in lot</t>
        </is>
      </c>
      <c r="E11" s="11" t="inlineStr"/>
      <c r="F11" s="11" t="inlineStr"/>
      <c r="G11" s="11" t="inlineStr"/>
      <c r="H11" s="11" t="inlineStr"/>
      <c r="I11" s="11" t="inlineStr"/>
    </row>
    <row r="12" ht="35" customHeight="1">
      <c r="A12" s="12" t="inlineStr">
        <is>
          <t>TC-LOT-004</t>
        </is>
      </c>
      <c r="B12" s="12" t="inlineStr">
        <is>
          <t>Lot Management</t>
        </is>
      </c>
      <c r="C12" s="12" t="inlineStr">
        <is>
          <t>Medium</t>
        </is>
      </c>
      <c r="D12" s="12" t="inlineStr">
        <is>
          <t>Lot P&amp;L calculation</t>
        </is>
      </c>
      <c r="E12" s="12" t="inlineStr"/>
      <c r="F12" s="12" t="inlineStr"/>
      <c r="G12" s="12" t="inlineStr"/>
      <c r="H12" s="12" t="inlineStr"/>
      <c r="I12" s="12" t="inlineStr"/>
    </row>
    <row r="13" ht="35" customHeight="1">
      <c r="A13" s="11" t="inlineStr">
        <is>
          <t>TC-IQC-001</t>
        </is>
      </c>
      <c r="B13" s="11" t="inlineStr">
        <is>
          <t>IQC</t>
        </is>
      </c>
      <c r="C13" s="14" t="inlineStr">
        <is>
          <t>Critical</t>
        </is>
      </c>
      <c r="D13" s="11" t="inlineStr">
        <is>
          <t>Register new device with all fields</t>
        </is>
      </c>
      <c r="E13" s="11" t="inlineStr"/>
      <c r="F13" s="11" t="inlineStr"/>
      <c r="G13" s="11" t="inlineStr"/>
      <c r="H13" s="11" t="inlineStr"/>
      <c r="I13" s="11" t="inlineStr"/>
    </row>
    <row r="14" ht="35" customHeight="1">
      <c r="A14" s="12" t="inlineStr">
        <is>
          <t>TC-IQC-002</t>
        </is>
      </c>
      <c r="B14" s="12" t="inlineStr">
        <is>
          <t>IQC</t>
        </is>
      </c>
      <c r="C14" s="14" t="inlineStr">
        <is>
          <t>Critical</t>
        </is>
      </c>
      <c r="D14" s="12" t="inlineStr">
        <is>
          <t>Duplicate barcode rejected</t>
        </is>
      </c>
      <c r="E14" s="12" t="inlineStr"/>
      <c r="F14" s="12" t="inlineStr"/>
      <c r="G14" s="12" t="inlineStr"/>
      <c r="H14" s="12" t="inlineStr"/>
      <c r="I14" s="12" t="inlineStr"/>
    </row>
    <row r="15" ht="35" customHeight="1">
      <c r="A15" s="11" t="inlineStr">
        <is>
          <t>TC-IQC-003</t>
        </is>
      </c>
      <c r="B15" s="11" t="inlineStr">
        <is>
          <t>IQC</t>
        </is>
      </c>
      <c r="C15" s="15" t="inlineStr">
        <is>
          <t>High</t>
        </is>
      </c>
      <c r="D15" s="11" t="inlineStr">
        <is>
          <t>Barcode scan auto-fills existing device</t>
        </is>
      </c>
      <c r="E15" s="11" t="inlineStr"/>
      <c r="F15" s="11" t="inlineStr"/>
      <c r="G15" s="11" t="inlineStr"/>
      <c r="H15" s="11" t="inlineStr"/>
      <c r="I15" s="11" t="inlineStr"/>
    </row>
    <row r="16" ht="35" customHeight="1">
      <c r="A16" s="12" t="inlineStr">
        <is>
          <t>TC-IQC-004</t>
        </is>
      </c>
      <c r="B16" s="12" t="inlineStr">
        <is>
          <t>IQC</t>
        </is>
      </c>
      <c r="C16" s="15" t="inlineStr">
        <is>
          <t>High</t>
        </is>
      </c>
      <c r="D16" s="12" t="inlineStr">
        <is>
          <t>Register device with minimum required fields only</t>
        </is>
      </c>
      <c r="E16" s="12" t="inlineStr"/>
      <c r="F16" s="12" t="inlineStr"/>
      <c r="G16" s="12" t="inlineStr"/>
      <c r="H16" s="12" t="inlineStr"/>
      <c r="I16" s="12" t="inlineStr"/>
    </row>
    <row r="17" ht="35" customHeight="1">
      <c r="A17" s="11" t="inlineStr">
        <is>
          <t>TC-IQC-005</t>
        </is>
      </c>
      <c r="B17" s="11" t="inlineStr">
        <is>
          <t>IQC</t>
        </is>
      </c>
      <c r="C17" s="15" t="inlineStr">
        <is>
          <t>High</t>
        </is>
      </c>
      <c r="D17" s="11" t="inlineStr">
        <is>
          <t>BIOS password flagged at IQC</t>
        </is>
      </c>
      <c r="E17" s="11" t="inlineStr"/>
      <c r="F17" s="11" t="inlineStr"/>
      <c r="G17" s="11" t="inlineStr"/>
      <c r="H17" s="11" t="inlineStr"/>
      <c r="I17" s="11" t="inlineStr"/>
    </row>
    <row r="18" ht="35" customHeight="1">
      <c r="A18" s="12" t="inlineStr">
        <is>
          <t>TC-IQC-006</t>
        </is>
      </c>
      <c r="B18" s="12" t="inlineStr">
        <is>
          <t>IQC</t>
        </is>
      </c>
      <c r="C18" s="12" t="inlineStr">
        <is>
          <t>Medium</t>
        </is>
      </c>
      <c r="D18" s="12" t="inlineStr">
        <is>
          <t>IQC list shows all pending devices</t>
        </is>
      </c>
      <c r="E18" s="12" t="inlineStr"/>
      <c r="F18" s="12" t="inlineStr"/>
      <c r="G18" s="12" t="inlineStr"/>
      <c r="H18" s="12" t="inlineStr"/>
      <c r="I18" s="12" t="inlineStr"/>
    </row>
    <row r="19" ht="35" customHeight="1">
      <c r="A19" s="11" t="inlineStr">
        <is>
          <t>TC-IQC-007</t>
        </is>
      </c>
      <c r="B19" s="11" t="inlineStr">
        <is>
          <t>IQC</t>
        </is>
      </c>
      <c r="C19" s="11" t="inlineStr">
        <is>
          <t>Medium</t>
        </is>
      </c>
      <c r="D19" s="11" t="inlineStr">
        <is>
          <t>Grade 'Scrap' can be assigned at IQC</t>
        </is>
      </c>
      <c r="E19" s="11" t="inlineStr"/>
      <c r="F19" s="11" t="inlineStr"/>
      <c r="G19" s="11" t="inlineStr"/>
      <c r="H19" s="11" t="inlineStr"/>
      <c r="I19" s="11" t="inlineStr"/>
    </row>
    <row r="20" ht="35" customHeight="1">
      <c r="A20" s="12" t="inlineStr">
        <is>
          <t>TC-STOCK-001</t>
        </is>
      </c>
      <c r="B20" s="12" t="inlineStr">
        <is>
          <t>Stock In</t>
        </is>
      </c>
      <c r="C20" s="14" t="inlineStr">
        <is>
          <t>Critical</t>
        </is>
      </c>
      <c r="D20" s="12" t="inlineStr">
        <is>
          <t>Move device from IQC to Stock In</t>
        </is>
      </c>
      <c r="E20" s="12" t="inlineStr"/>
      <c r="F20" s="12" t="inlineStr"/>
      <c r="G20" s="12" t="inlineStr"/>
      <c r="H20" s="12" t="inlineStr"/>
      <c r="I20" s="12" t="inlineStr"/>
    </row>
    <row r="21" ht="35" customHeight="1">
      <c r="A21" s="11" t="inlineStr">
        <is>
          <t>TC-STOCK-002</t>
        </is>
      </c>
      <c r="B21" s="11" t="inlineStr">
        <is>
          <t>Stock In</t>
        </is>
      </c>
      <c r="C21" s="15" t="inlineStr">
        <is>
          <t>High</t>
        </is>
      </c>
      <c r="D21" s="11" t="inlineStr">
        <is>
          <t>Stock In list shows only stock-in devices</t>
        </is>
      </c>
      <c r="E21" s="11" t="inlineStr"/>
      <c r="F21" s="11" t="inlineStr"/>
      <c r="G21" s="11" t="inlineStr"/>
      <c r="H21" s="11" t="inlineStr"/>
      <c r="I21" s="11" t="inlineStr"/>
    </row>
    <row r="22" ht="35" customHeight="1">
      <c r="A22" s="12" t="inlineStr">
        <is>
          <t>TC-STOCK-003</t>
        </is>
      </c>
      <c r="B22" s="12" t="inlineStr">
        <is>
          <t>Stock In</t>
        </is>
      </c>
      <c r="C22" s="12" t="inlineStr">
        <is>
          <t>Medium</t>
        </is>
      </c>
      <c r="D22" s="12" t="inlineStr">
        <is>
          <t>Cannot move already-stocked device to stock again</t>
        </is>
      </c>
      <c r="E22" s="12" t="inlineStr"/>
      <c r="F22" s="12" t="inlineStr"/>
      <c r="G22" s="12" t="inlineStr"/>
      <c r="H22" s="12" t="inlineStr"/>
      <c r="I22" s="12" t="inlineStr"/>
    </row>
    <row r="23" ht="35" customHeight="1">
      <c r="A23" s="11" t="inlineStr">
        <is>
          <t>TC-L1-001</t>
        </is>
      </c>
      <c r="B23" s="11" t="inlineStr">
        <is>
          <t>L1 Repair</t>
        </is>
      </c>
      <c r="C23" s="14" t="inlineStr">
        <is>
          <t>Critical</t>
        </is>
      </c>
      <c r="D23" s="11" t="inlineStr">
        <is>
          <t>Start L1 repair job</t>
        </is>
      </c>
      <c r="E23" s="11" t="inlineStr"/>
      <c r="F23" s="11" t="inlineStr"/>
      <c r="G23" s="11" t="inlineStr"/>
      <c r="H23" s="11" t="inlineStr"/>
      <c r="I23" s="11" t="inlineStr"/>
    </row>
    <row r="24" ht="35" customHeight="1">
      <c r="A24" s="12" t="inlineStr">
        <is>
          <t>TC-L1-002</t>
        </is>
      </c>
      <c r="B24" s="12" t="inlineStr">
        <is>
          <t>L1 Repair</t>
        </is>
      </c>
      <c r="C24" s="14" t="inlineStr">
        <is>
          <t>Critical</t>
        </is>
      </c>
      <c r="D24" s="12" t="inlineStr">
        <is>
          <t>Complete L1 repair and advance to QC</t>
        </is>
      </c>
      <c r="E24" s="12" t="inlineStr"/>
      <c r="F24" s="12" t="inlineStr"/>
      <c r="G24" s="12" t="inlineStr"/>
      <c r="H24" s="12" t="inlineStr"/>
      <c r="I24" s="12" t="inlineStr"/>
    </row>
    <row r="25" ht="35" customHeight="1">
      <c r="A25" s="11" t="inlineStr">
        <is>
          <t>TC-L1-003</t>
        </is>
      </c>
      <c r="B25" s="11" t="inlineStr">
        <is>
          <t>L1 Repair</t>
        </is>
      </c>
      <c r="C25" s="15" t="inlineStr">
        <is>
          <t>High</t>
        </is>
      </c>
      <c r="D25" s="11" t="inlineStr">
        <is>
          <t>Complete repair WITHOUT advancing stage</t>
        </is>
      </c>
      <c r="E25" s="11" t="inlineStr"/>
      <c r="F25" s="11" t="inlineStr"/>
      <c r="G25" s="11" t="inlineStr"/>
      <c r="H25" s="11" t="inlineStr"/>
      <c r="I25" s="11" t="inlineStr"/>
    </row>
    <row r="26" ht="35" customHeight="1">
      <c r="A26" s="12" t="inlineStr">
        <is>
          <t>TC-L1-004</t>
        </is>
      </c>
      <c r="B26" s="12" t="inlineStr">
        <is>
          <t>L1 Repair</t>
        </is>
      </c>
      <c r="C26" s="15" t="inlineStr">
        <is>
          <t>High</t>
        </is>
      </c>
      <c r="D26" s="12" t="inlineStr">
        <is>
          <t>Log spare part consumption in L1</t>
        </is>
      </c>
      <c r="E26" s="12" t="inlineStr"/>
      <c r="F26" s="12" t="inlineStr"/>
      <c r="G26" s="12" t="inlineStr"/>
      <c r="H26" s="12" t="inlineStr"/>
      <c r="I26" s="12" t="inlineStr"/>
    </row>
    <row r="27" ht="35" customHeight="1">
      <c r="A27" s="11" t="inlineStr">
        <is>
          <t>TC-L2-001</t>
        </is>
      </c>
      <c r="B27" s="11" t="inlineStr">
        <is>
          <t>L2 Repair</t>
        </is>
      </c>
      <c r="C27" s="14" t="inlineStr">
        <is>
          <t>Critical</t>
        </is>
      </c>
      <c r="D27" s="11" t="inlineStr">
        <is>
          <t>Start and complete L2 repair job</t>
        </is>
      </c>
      <c r="E27" s="11" t="inlineStr"/>
      <c r="F27" s="11" t="inlineStr"/>
      <c r="G27" s="11" t="inlineStr"/>
      <c r="H27" s="11" t="inlineStr"/>
      <c r="I27" s="11" t="inlineStr"/>
    </row>
    <row r="28" ht="35" customHeight="1">
      <c r="A28" s="12" t="inlineStr">
        <is>
          <t>TC-L2-002</t>
        </is>
      </c>
      <c r="B28" s="12" t="inlineStr">
        <is>
          <t>L2 Repair</t>
        </is>
      </c>
      <c r="C28" s="15" t="inlineStr">
        <is>
          <t>High</t>
        </is>
      </c>
      <c r="D28" s="12" t="inlineStr">
        <is>
          <t>L2 engineer can log spare parts</t>
        </is>
      </c>
      <c r="E28" s="12" t="inlineStr"/>
      <c r="F28" s="12" t="inlineStr"/>
      <c r="G28" s="12" t="inlineStr"/>
      <c r="H28" s="12" t="inlineStr"/>
      <c r="I28" s="12" t="inlineStr"/>
    </row>
    <row r="29" ht="35" customHeight="1">
      <c r="A29" s="11" t="inlineStr">
        <is>
          <t>TC-L3-001</t>
        </is>
      </c>
      <c r="B29" s="11" t="inlineStr">
        <is>
          <t>L3 Repair</t>
        </is>
      </c>
      <c r="C29" s="15" t="inlineStr">
        <is>
          <t>High</t>
        </is>
      </c>
      <c r="D29" s="11" t="inlineStr">
        <is>
          <t>Start and complete L3 repair</t>
        </is>
      </c>
      <c r="E29" s="11" t="inlineStr"/>
      <c r="F29" s="11" t="inlineStr"/>
      <c r="G29" s="11" t="inlineStr"/>
      <c r="H29" s="11" t="inlineStr"/>
      <c r="I29" s="11" t="inlineStr"/>
    </row>
    <row r="30" ht="35" customHeight="1">
      <c r="A30" s="12" t="inlineStr">
        <is>
          <t>TC-QC-001</t>
        </is>
      </c>
      <c r="B30" s="12" t="inlineStr">
        <is>
          <t>QC Check</t>
        </is>
      </c>
      <c r="C30" s="14" t="inlineStr">
        <is>
          <t>Critical</t>
        </is>
      </c>
      <c r="D30" s="12" t="inlineStr">
        <is>
          <t>QC Pass — device moves to Ready to Sale</t>
        </is>
      </c>
      <c r="E30" s="12" t="inlineStr"/>
      <c r="F30" s="12" t="inlineStr"/>
      <c r="G30" s="12" t="inlineStr"/>
      <c r="H30" s="12" t="inlineStr"/>
      <c r="I30" s="12" t="inlineStr"/>
    </row>
    <row r="31" ht="35" customHeight="1">
      <c r="A31" s="11" t="inlineStr">
        <is>
          <t>TC-QC-002</t>
        </is>
      </c>
      <c r="B31" s="11" t="inlineStr">
        <is>
          <t>QC Check</t>
        </is>
      </c>
      <c r="C31" s="14" t="inlineStr">
        <is>
          <t>Critical</t>
        </is>
      </c>
      <c r="D31" s="11" t="inlineStr">
        <is>
          <t>QC Fail — device returned to repair</t>
        </is>
      </c>
      <c r="E31" s="11" t="inlineStr"/>
      <c r="F31" s="11" t="inlineStr"/>
      <c r="G31" s="11" t="inlineStr"/>
      <c r="H31" s="11" t="inlineStr"/>
      <c r="I31" s="11" t="inlineStr"/>
    </row>
    <row r="32" ht="35" customHeight="1">
      <c r="A32" s="12" t="inlineStr">
        <is>
          <t>TC-QC-003</t>
        </is>
      </c>
      <c r="B32" s="12" t="inlineStr">
        <is>
          <t>QC Check</t>
        </is>
      </c>
      <c r="C32" s="14" t="inlineStr">
        <is>
          <t>Critical</t>
        </is>
      </c>
      <c r="D32" s="12" t="inlineStr">
        <is>
          <t>QC Scrap — device marked as scrapped</t>
        </is>
      </c>
      <c r="E32" s="12" t="inlineStr"/>
      <c r="F32" s="12" t="inlineStr"/>
      <c r="G32" s="12" t="inlineStr"/>
      <c r="H32" s="12" t="inlineStr"/>
      <c r="I32" s="12" t="inlineStr"/>
    </row>
    <row r="33" ht="35" customHeight="1">
      <c r="A33" s="11" t="inlineStr">
        <is>
          <t>TC-QC-004</t>
        </is>
      </c>
      <c r="B33" s="11" t="inlineStr">
        <is>
          <t>QC Check</t>
        </is>
      </c>
      <c r="C33" s="15" t="inlineStr">
        <is>
          <t>High</t>
        </is>
      </c>
      <c r="D33" s="11" t="inlineStr">
        <is>
          <t>Send QC-passed device to Cosmetic Pipeline</t>
        </is>
      </c>
      <c r="E33" s="11" t="inlineStr"/>
      <c r="F33" s="11" t="inlineStr"/>
      <c r="G33" s="11" t="inlineStr"/>
      <c r="H33" s="11" t="inlineStr"/>
      <c r="I33" s="11" t="inlineStr"/>
    </row>
    <row r="34" ht="35" customHeight="1">
      <c r="A34" s="12" t="inlineStr">
        <is>
          <t>TC-QC-005</t>
        </is>
      </c>
      <c r="B34" s="12" t="inlineStr">
        <is>
          <t>QC Check</t>
        </is>
      </c>
      <c r="C34" s="12" t="inlineStr">
        <is>
          <t>Medium</t>
        </is>
      </c>
      <c r="D34" s="12" t="inlineStr">
        <is>
          <t>QC list shows CPU and grade columns</t>
        </is>
      </c>
      <c r="E34" s="12" t="inlineStr"/>
      <c r="F34" s="12" t="inlineStr"/>
      <c r="G34" s="12" t="inlineStr"/>
      <c r="H34" s="12" t="inlineStr"/>
      <c r="I34" s="12" t="inlineStr"/>
    </row>
    <row r="35" ht="35" customHeight="1">
      <c r="A35" s="11" t="inlineStr">
        <is>
          <t>TC-COS-001</t>
        </is>
      </c>
      <c r="B35" s="11" t="inlineStr">
        <is>
          <t>Cosmetic Pipeline</t>
        </is>
      </c>
      <c r="C35" s="14" t="inlineStr">
        <is>
          <t>Critical</t>
        </is>
      </c>
      <c r="D35" s="11" t="inlineStr">
        <is>
          <t>Cosmetic dashboard shows all 6 stages</t>
        </is>
      </c>
      <c r="E35" s="11" t="inlineStr"/>
      <c r="F35" s="11" t="inlineStr"/>
      <c r="G35" s="11" t="inlineStr"/>
      <c r="H35" s="11" t="inlineStr"/>
      <c r="I35" s="11" t="inlineStr"/>
    </row>
    <row r="36" ht="35" customHeight="1">
      <c r="A36" s="12" t="inlineStr">
        <is>
          <t>TC-COS-002</t>
        </is>
      </c>
      <c r="B36" s="12" t="inlineStr">
        <is>
          <t>Cosmetic Pipeline</t>
        </is>
      </c>
      <c r="C36" s="14" t="inlineStr">
        <is>
          <t>Critical</t>
        </is>
      </c>
      <c r="D36" s="12" t="inlineStr">
        <is>
          <t>Advance device: Cleaning → Dry Sanding</t>
        </is>
      </c>
      <c r="E36" s="12" t="inlineStr"/>
      <c r="F36" s="12" t="inlineStr"/>
      <c r="G36" s="12" t="inlineStr"/>
      <c r="H36" s="12" t="inlineStr"/>
      <c r="I36" s="12" t="inlineStr"/>
    </row>
    <row r="37" ht="35" customHeight="1">
      <c r="A37" s="11" t="inlineStr">
        <is>
          <t>TC-COS-003</t>
        </is>
      </c>
      <c r="B37" s="11" t="inlineStr">
        <is>
          <t>Cosmetic Pipeline</t>
        </is>
      </c>
      <c r="C37" s="14" t="inlineStr">
        <is>
          <t>Critical</t>
        </is>
      </c>
      <c r="D37" s="11" t="inlineStr">
        <is>
          <t>Full cosmetic pipeline: Cleaning through Final QC</t>
        </is>
      </c>
      <c r="E37" s="11" t="inlineStr"/>
      <c r="F37" s="11" t="inlineStr"/>
      <c r="G37" s="11" t="inlineStr"/>
      <c r="H37" s="11" t="inlineStr"/>
      <c r="I37" s="11" t="inlineStr"/>
    </row>
    <row r="38" ht="35" customHeight="1">
      <c r="A38" s="12" t="inlineStr">
        <is>
          <t>TC-COS-004</t>
        </is>
      </c>
      <c r="B38" s="12" t="inlineStr">
        <is>
          <t>Cosmetic Pipeline</t>
        </is>
      </c>
      <c r="C38" s="14" t="inlineStr">
        <is>
          <t>Critical</t>
        </is>
      </c>
      <c r="D38" s="12" t="inlineStr">
        <is>
          <t>Final QC advance → Ready to Sale</t>
        </is>
      </c>
      <c r="E38" s="12" t="inlineStr"/>
      <c r="F38" s="12" t="inlineStr"/>
      <c r="G38" s="12" t="inlineStr"/>
      <c r="H38" s="12" t="inlineStr"/>
      <c r="I38" s="12" t="inlineStr"/>
    </row>
    <row r="39" ht="35" customHeight="1">
      <c r="A39" s="11" t="inlineStr">
        <is>
          <t>TC-COS-005</t>
        </is>
      </c>
      <c r="B39" s="11" t="inlineStr">
        <is>
          <t>Cosmetic Pipeline</t>
        </is>
      </c>
      <c r="C39" s="15" t="inlineStr">
        <is>
          <t>High</t>
        </is>
      </c>
      <c r="D39" s="11" t="inlineStr">
        <is>
          <t>Stage navigation tabs on stage page</t>
        </is>
      </c>
      <c r="E39" s="11" t="inlineStr"/>
      <c r="F39" s="11" t="inlineStr"/>
      <c r="G39" s="11" t="inlineStr"/>
      <c r="H39" s="11" t="inlineStr"/>
      <c r="I39" s="11" t="inlineStr"/>
    </row>
    <row r="40" ht="35" customHeight="1">
      <c r="A40" s="12" t="inlineStr">
        <is>
          <t>TC-SALE-001</t>
        </is>
      </c>
      <c r="B40" s="12" t="inlineStr">
        <is>
          <t>Sales</t>
        </is>
      </c>
      <c r="C40" s="14" t="inlineStr">
        <is>
          <t>Critical</t>
        </is>
      </c>
      <c r="D40" s="12" t="inlineStr">
        <is>
          <t>Create a sale for ready device</t>
        </is>
      </c>
      <c r="E40" s="12" t="inlineStr"/>
      <c r="F40" s="12" t="inlineStr"/>
      <c r="G40" s="12" t="inlineStr"/>
      <c r="H40" s="12" t="inlineStr"/>
      <c r="I40" s="12" t="inlineStr"/>
    </row>
    <row r="41" ht="35" customHeight="1">
      <c r="A41" s="11" t="inlineStr">
        <is>
          <t>TC-SALE-002</t>
        </is>
      </c>
      <c r="B41" s="11" t="inlineStr">
        <is>
          <t>Sales</t>
        </is>
      </c>
      <c r="C41" s="15" t="inlineStr">
        <is>
          <t>High</t>
        </is>
      </c>
      <c r="D41" s="11" t="inlineStr">
        <is>
          <t>Sales list shows all completed sales</t>
        </is>
      </c>
      <c r="E41" s="11" t="inlineStr"/>
      <c r="F41" s="11" t="inlineStr"/>
      <c r="G41" s="11" t="inlineStr"/>
      <c r="H41" s="11" t="inlineStr"/>
      <c r="I41" s="11" t="inlineStr"/>
    </row>
    <row r="42" ht="35" customHeight="1">
      <c r="A42" s="12" t="inlineStr">
        <is>
          <t>TC-SALE-003</t>
        </is>
      </c>
      <c r="B42" s="12" t="inlineStr">
        <is>
          <t>Sales</t>
        </is>
      </c>
      <c r="C42" s="15" t="inlineStr">
        <is>
          <t>High</t>
        </is>
      </c>
      <c r="D42" s="12" t="inlineStr">
        <is>
          <t>All payment modes accepted</t>
        </is>
      </c>
      <c r="E42" s="12" t="inlineStr"/>
      <c r="F42" s="12" t="inlineStr"/>
      <c r="G42" s="12" t="inlineStr"/>
      <c r="H42" s="12" t="inlineStr"/>
      <c r="I42" s="12" t="inlineStr"/>
    </row>
    <row r="43" ht="35" customHeight="1">
      <c r="A43" s="11" t="inlineStr">
        <is>
          <t>TC-SALE-004</t>
        </is>
      </c>
      <c r="B43" s="11" t="inlineStr">
        <is>
          <t>Sales</t>
        </is>
      </c>
      <c r="C43" s="11" t="inlineStr">
        <is>
          <t>Medium</t>
        </is>
      </c>
      <c r="D43" s="11" t="inlineStr">
        <is>
          <t>Cannot sell device not in ready_to_sale</t>
        </is>
      </c>
      <c r="E43" s="11" t="inlineStr"/>
      <c r="F43" s="11" t="inlineStr"/>
      <c r="G43" s="11" t="inlineStr"/>
      <c r="H43" s="11" t="inlineStr"/>
      <c r="I43" s="11" t="inlineStr"/>
    </row>
    <row r="44" ht="35" customHeight="1">
      <c r="A44" s="12" t="inlineStr">
        <is>
          <t>TC-RET-001</t>
        </is>
      </c>
      <c r="B44" s="12" t="inlineStr">
        <is>
          <t>Returns</t>
        </is>
      </c>
      <c r="C44" s="14" t="inlineStr">
        <is>
          <t>Critical</t>
        </is>
      </c>
      <c r="D44" s="12" t="inlineStr">
        <is>
          <t>Process a return</t>
        </is>
      </c>
      <c r="E44" s="12" t="inlineStr"/>
      <c r="F44" s="12" t="inlineStr"/>
      <c r="G44" s="12" t="inlineStr"/>
      <c r="H44" s="12" t="inlineStr"/>
      <c r="I44" s="12" t="inlineStr"/>
    </row>
    <row r="45" ht="35" customHeight="1">
      <c r="A45" s="11" t="inlineStr">
        <is>
          <t>TC-RET-002</t>
        </is>
      </c>
      <c r="B45" s="11" t="inlineStr">
        <is>
          <t>Returns</t>
        </is>
      </c>
      <c r="C45" s="15" t="inlineStr">
        <is>
          <t>High</t>
        </is>
      </c>
      <c r="D45" s="11" t="inlineStr">
        <is>
          <t>Returns list shows all returns</t>
        </is>
      </c>
      <c r="E45" s="11" t="inlineStr"/>
      <c r="F45" s="11" t="inlineStr"/>
      <c r="G45" s="11" t="inlineStr"/>
      <c r="H45" s="11" t="inlineStr"/>
      <c r="I45" s="11" t="inlineStr"/>
    </row>
    <row r="46" ht="35" customHeight="1">
      <c r="A46" s="12" t="inlineStr">
        <is>
          <t>TC-RET-003</t>
        </is>
      </c>
      <c r="B46" s="12" t="inlineStr">
        <is>
          <t>Returns</t>
        </is>
      </c>
      <c r="C46" s="12" t="inlineStr">
        <is>
          <t>Medium</t>
        </is>
      </c>
      <c r="D46" s="12" t="inlineStr">
        <is>
          <t>Returned device can be re-routed to IQC</t>
        </is>
      </c>
      <c r="E46" s="12" t="inlineStr"/>
      <c r="F46" s="12" t="inlineStr"/>
      <c r="G46" s="12" t="inlineStr"/>
      <c r="H46" s="12" t="inlineStr"/>
      <c r="I46" s="12" t="inlineStr"/>
    </row>
    <row r="47" ht="35" customHeight="1">
      <c r="A47" s="11" t="inlineStr">
        <is>
          <t>TC-PARTS-001</t>
        </is>
      </c>
      <c r="B47" s="11" t="inlineStr">
        <is>
          <t>Spare Parts</t>
        </is>
      </c>
      <c r="C47" s="14" t="inlineStr">
        <is>
          <t>Critical</t>
        </is>
      </c>
      <c r="D47" s="11" t="inlineStr">
        <is>
          <t>Add new spare part</t>
        </is>
      </c>
      <c r="E47" s="11" t="inlineStr"/>
      <c r="F47" s="11" t="inlineStr"/>
      <c r="G47" s="11" t="inlineStr"/>
      <c r="H47" s="11" t="inlineStr"/>
      <c r="I47" s="11" t="inlineStr"/>
    </row>
    <row r="48" ht="35" customHeight="1">
      <c r="A48" s="12" t="inlineStr">
        <is>
          <t>TC-PARTS-002</t>
        </is>
      </c>
      <c r="B48" s="12" t="inlineStr">
        <is>
          <t>Spare Parts</t>
        </is>
      </c>
      <c r="C48" s="14" t="inlineStr">
        <is>
          <t>Critical</t>
        </is>
      </c>
      <c r="D48" s="12" t="inlineStr">
        <is>
          <t>Log purchase — stock increments</t>
        </is>
      </c>
      <c r="E48" s="12" t="inlineStr"/>
      <c r="F48" s="12" t="inlineStr"/>
      <c r="G48" s="12" t="inlineStr"/>
      <c r="H48" s="12" t="inlineStr"/>
      <c r="I48" s="12" t="inlineStr"/>
    </row>
    <row r="49" ht="35" customHeight="1">
      <c r="A49" s="11" t="inlineStr">
        <is>
          <t>TC-PARTS-003</t>
        </is>
      </c>
      <c r="B49" s="11" t="inlineStr">
        <is>
          <t>Spare Parts</t>
        </is>
      </c>
      <c r="C49" s="14" t="inlineStr">
        <is>
          <t>Critical</t>
        </is>
      </c>
      <c r="D49" s="11" t="inlineStr">
        <is>
          <t>Log consumption — stock decrements</t>
        </is>
      </c>
      <c r="E49" s="11" t="inlineStr"/>
      <c r="F49" s="11" t="inlineStr"/>
      <c r="G49" s="11" t="inlineStr"/>
      <c r="H49" s="11" t="inlineStr"/>
      <c r="I49" s="11" t="inlineStr"/>
    </row>
    <row r="50" ht="35" customHeight="1">
      <c r="A50" s="12" t="inlineStr">
        <is>
          <t>TC-PARTS-004</t>
        </is>
      </c>
      <c r="B50" s="12" t="inlineStr">
        <is>
          <t>Spare Parts</t>
        </is>
      </c>
      <c r="C50" s="15" t="inlineStr">
        <is>
          <t>High</t>
        </is>
      </c>
      <c r="D50" s="12" t="inlineStr">
        <is>
          <t>Low stock alert visible</t>
        </is>
      </c>
      <c r="E50" s="12" t="inlineStr"/>
      <c r="F50" s="12" t="inlineStr"/>
      <c r="G50" s="12" t="inlineStr"/>
      <c r="H50" s="12" t="inlineStr"/>
      <c r="I50" s="12" t="inlineStr"/>
    </row>
    <row r="51" ht="35" customHeight="1">
      <c r="A51" s="11" t="inlineStr">
        <is>
          <t>TC-PARTS-005</t>
        </is>
      </c>
      <c r="B51" s="11" t="inlineStr">
        <is>
          <t>Spare Parts</t>
        </is>
      </c>
      <c r="C51" s="15" t="inlineStr">
        <is>
          <t>High</t>
        </is>
      </c>
      <c r="D51" s="11" t="inlineStr">
        <is>
          <t>Edit spare part details</t>
        </is>
      </c>
      <c r="E51" s="11" t="inlineStr"/>
      <c r="F51" s="11" t="inlineStr"/>
      <c r="G51" s="11" t="inlineStr"/>
      <c r="H51" s="11" t="inlineStr"/>
      <c r="I51" s="11" t="inlineStr"/>
    </row>
    <row r="52" ht="35" customHeight="1">
      <c r="A52" s="12" t="inlineStr">
        <is>
          <t>TC-RAM-001</t>
        </is>
      </c>
      <c r="B52" s="12" t="inlineStr">
        <is>
          <t>RAM Tracking</t>
        </is>
      </c>
      <c r="C52" s="15" t="inlineStr">
        <is>
          <t>High</t>
        </is>
      </c>
      <c r="D52" s="12" t="inlineStr">
        <is>
          <t>Log RAM removal from device</t>
        </is>
      </c>
      <c r="E52" s="12" t="inlineStr"/>
      <c r="F52" s="12" t="inlineStr"/>
      <c r="G52" s="12" t="inlineStr"/>
      <c r="H52" s="12" t="inlineStr"/>
      <c r="I52" s="12" t="inlineStr"/>
    </row>
    <row r="53" ht="35" customHeight="1">
      <c r="A53" s="11" t="inlineStr">
        <is>
          <t>TC-RAM-002</t>
        </is>
      </c>
      <c r="B53" s="11" t="inlineStr">
        <is>
          <t>RAM Tracking</t>
        </is>
      </c>
      <c r="C53" s="15" t="inlineStr">
        <is>
          <t>High</t>
        </is>
      </c>
      <c r="D53" s="11" t="inlineStr">
        <is>
          <t>Log RAM added to device</t>
        </is>
      </c>
      <c r="E53" s="11" t="inlineStr"/>
      <c r="F53" s="11" t="inlineStr"/>
      <c r="G53" s="11" t="inlineStr"/>
      <c r="H53" s="11" t="inlineStr"/>
      <c r="I53" s="11" t="inlineStr"/>
    </row>
    <row r="54" ht="35" customHeight="1">
      <c r="A54" s="12" t="inlineStr">
        <is>
          <t>TC-RAM-003</t>
        </is>
      </c>
      <c r="B54" s="12" t="inlineStr">
        <is>
          <t>RAM Tracking</t>
        </is>
      </c>
      <c r="C54" s="12" t="inlineStr">
        <is>
          <t>Medium</t>
        </is>
      </c>
      <c r="D54" s="12" t="inlineStr">
        <is>
          <t>RAM tracking history viewable</t>
        </is>
      </c>
      <c r="E54" s="12" t="inlineStr"/>
      <c r="F54" s="12" t="inlineStr"/>
      <c r="G54" s="12" t="inlineStr"/>
      <c r="H54" s="12" t="inlineStr"/>
      <c r="I54" s="12" t="inlineStr"/>
    </row>
    <row r="55" ht="35" customHeight="1">
      <c r="A55" s="11" t="inlineStr">
        <is>
          <t>TC-DASH-001</t>
        </is>
      </c>
      <c r="B55" s="11" t="inlineStr">
        <is>
          <t>Dashboard</t>
        </is>
      </c>
      <c r="C55" s="15" t="inlineStr">
        <is>
          <t>High</t>
        </is>
      </c>
      <c r="D55" s="11" t="inlineStr">
        <is>
          <t>Dashboard shows correct stage counts</t>
        </is>
      </c>
      <c r="E55" s="11" t="inlineStr"/>
      <c r="F55" s="11" t="inlineStr"/>
      <c r="G55" s="11" t="inlineStr"/>
      <c r="H55" s="11" t="inlineStr"/>
      <c r="I55" s="11" t="inlineStr"/>
    </row>
    <row r="56" ht="35" customHeight="1">
      <c r="A56" s="12" t="inlineStr">
        <is>
          <t>TC-DASH-002</t>
        </is>
      </c>
      <c r="B56" s="12" t="inlineStr">
        <is>
          <t>Dashboard</t>
        </is>
      </c>
      <c r="C56" s="15" t="inlineStr">
        <is>
          <t>High</t>
        </is>
      </c>
      <c r="D56" s="12" t="inlineStr">
        <is>
          <t>Recent movements table on dashboard</t>
        </is>
      </c>
      <c r="E56" s="12" t="inlineStr"/>
      <c r="F56" s="12" t="inlineStr"/>
      <c r="G56" s="12" t="inlineStr"/>
      <c r="H56" s="12" t="inlineStr"/>
      <c r="I56" s="12" t="inlineStr"/>
    </row>
    <row r="57" ht="35" customHeight="1">
      <c r="A57" s="11" t="inlineStr">
        <is>
          <t>TC-DASH-003</t>
        </is>
      </c>
      <c r="B57" s="11" t="inlineStr">
        <is>
          <t>Dashboard</t>
        </is>
      </c>
      <c r="C57" s="11" t="inlineStr">
        <is>
          <t>Medium</t>
        </is>
      </c>
      <c r="D57" s="11" t="inlineStr">
        <is>
          <t>Low stock alerts on dashboard</t>
        </is>
      </c>
      <c r="E57" s="11" t="inlineStr"/>
      <c r="F57" s="11" t="inlineStr"/>
      <c r="G57" s="11" t="inlineStr"/>
      <c r="H57" s="11" t="inlineStr"/>
      <c r="I57" s="11" t="inlineStr"/>
    </row>
    <row r="58" ht="35" customHeight="1">
      <c r="A58" s="12" t="inlineStr">
        <is>
          <t>TC-BULK-001</t>
        </is>
      </c>
      <c r="B58" s="12" t="inlineStr">
        <is>
          <t>Bulk Upload</t>
        </is>
      </c>
      <c r="C58" s="15" t="inlineStr">
        <is>
          <t>High</t>
        </is>
      </c>
      <c r="D58" s="12" t="inlineStr">
        <is>
          <t>Download lots CSV template</t>
        </is>
      </c>
      <c r="E58" s="12" t="inlineStr"/>
      <c r="F58" s="12" t="inlineStr"/>
      <c r="G58" s="12" t="inlineStr"/>
      <c r="H58" s="12" t="inlineStr"/>
      <c r="I58" s="12" t="inlineStr"/>
    </row>
    <row r="59" ht="35" customHeight="1">
      <c r="A59" s="11" t="inlineStr">
        <is>
          <t>TC-BULK-002</t>
        </is>
      </c>
      <c r="B59" s="11" t="inlineStr">
        <is>
          <t>Bulk Upload</t>
        </is>
      </c>
      <c r="C59" s="14" t="inlineStr">
        <is>
          <t>Critical</t>
        </is>
      </c>
      <c r="D59" s="11" t="inlineStr">
        <is>
          <t>Upload valid lots CSV</t>
        </is>
      </c>
      <c r="E59" s="11" t="inlineStr"/>
      <c r="F59" s="11" t="inlineStr"/>
      <c r="G59" s="11" t="inlineStr"/>
      <c r="H59" s="11" t="inlineStr"/>
      <c r="I59" s="11" t="inlineStr"/>
    </row>
    <row r="60" ht="35" customHeight="1">
      <c r="A60" s="12" t="inlineStr">
        <is>
          <t>TC-BULK-003</t>
        </is>
      </c>
      <c r="B60" s="12" t="inlineStr">
        <is>
          <t>Bulk Upload</t>
        </is>
      </c>
      <c r="C60" s="15" t="inlineStr">
        <is>
          <t>High</t>
        </is>
      </c>
      <c r="D60" s="12" t="inlineStr">
        <is>
          <t>Bulk upload with duplicate lot number</t>
        </is>
      </c>
      <c r="E60" s="12" t="inlineStr"/>
      <c r="F60" s="12" t="inlineStr"/>
      <c r="G60" s="12" t="inlineStr"/>
      <c r="H60" s="12" t="inlineStr"/>
      <c r="I60" s="12" t="inlineStr"/>
    </row>
    <row r="61" ht="35" customHeight="1">
      <c r="A61" s="11" t="inlineStr">
        <is>
          <t>TC-BULK-004</t>
        </is>
      </c>
      <c r="B61" s="11" t="inlineStr">
        <is>
          <t>Bulk Upload</t>
        </is>
      </c>
      <c r="C61" s="14" t="inlineStr">
        <is>
          <t>Critical</t>
        </is>
      </c>
      <c r="D61" s="11" t="inlineStr">
        <is>
          <t>Upload valid devices CSV</t>
        </is>
      </c>
      <c r="E61" s="11" t="inlineStr"/>
      <c r="F61" s="11" t="inlineStr"/>
      <c r="G61" s="11" t="inlineStr"/>
      <c r="H61" s="11" t="inlineStr"/>
      <c r="I61" s="11" t="inlineStr"/>
    </row>
    <row r="62" ht="35" customHeight="1">
      <c r="A62" s="12" t="inlineStr">
        <is>
          <t>TC-BULK-005</t>
        </is>
      </c>
      <c r="B62" s="12" t="inlineStr">
        <is>
          <t>Bulk Upload</t>
        </is>
      </c>
      <c r="C62" s="15" t="inlineStr">
        <is>
          <t>High</t>
        </is>
      </c>
      <c r="D62" s="12" t="inlineStr">
        <is>
          <t>Upload devices CSV with non-existent lot</t>
        </is>
      </c>
      <c r="E62" s="12" t="inlineStr"/>
      <c r="F62" s="12" t="inlineStr"/>
      <c r="G62" s="12" t="inlineStr"/>
      <c r="H62" s="12" t="inlineStr"/>
      <c r="I62" s="12" t="inlineStr"/>
    </row>
    <row r="63" ht="35" customHeight="1">
      <c r="A63" s="11" t="inlineStr">
        <is>
          <t>TC-BULK-006</t>
        </is>
      </c>
      <c r="B63" s="11" t="inlineStr">
        <is>
          <t>Bulk Upload</t>
        </is>
      </c>
      <c r="C63" s="15" t="inlineStr">
        <is>
          <t>High</t>
        </is>
      </c>
      <c r="D63" s="11" t="inlineStr">
        <is>
          <t>Upload valid spare parts CSV</t>
        </is>
      </c>
      <c r="E63" s="11" t="inlineStr"/>
      <c r="F63" s="11" t="inlineStr"/>
      <c r="G63" s="11" t="inlineStr"/>
      <c r="H63" s="11" t="inlineStr"/>
      <c r="I63" s="11" t="inlineStr"/>
    </row>
    <row r="64" ht="35" customHeight="1">
      <c r="A64" s="12" t="inlineStr">
        <is>
          <t>TC-MASTER-001</t>
        </is>
      </c>
      <c r="B64" s="12" t="inlineStr">
        <is>
          <t>Master Data</t>
        </is>
      </c>
      <c r="C64" s="15" t="inlineStr">
        <is>
          <t>High</t>
        </is>
      </c>
      <c r="D64" s="12" t="inlineStr">
        <is>
          <t>Add new brand to master data</t>
        </is>
      </c>
      <c r="E64" s="12" t="inlineStr"/>
      <c r="F64" s="12" t="inlineStr"/>
      <c r="G64" s="12" t="inlineStr"/>
      <c r="H64" s="12" t="inlineStr"/>
      <c r="I64" s="12" t="inlineStr"/>
    </row>
    <row r="65" ht="35" customHeight="1">
      <c r="A65" s="11" t="inlineStr">
        <is>
          <t>TC-MASTER-002</t>
        </is>
      </c>
      <c r="B65" s="11" t="inlineStr">
        <is>
          <t>Master Data</t>
        </is>
      </c>
      <c r="C65" s="15" t="inlineStr">
        <is>
          <t>High</t>
        </is>
      </c>
      <c r="D65" s="11" t="inlineStr">
        <is>
          <t>Disable a master data value</t>
        </is>
      </c>
      <c r="E65" s="11" t="inlineStr"/>
      <c r="F65" s="11" t="inlineStr"/>
      <c r="G65" s="11" t="inlineStr"/>
      <c r="H65" s="11" t="inlineStr"/>
      <c r="I65" s="11" t="inlineStr"/>
    </row>
    <row r="66" ht="35" customHeight="1">
      <c r="A66" s="12" t="inlineStr">
        <is>
          <t>TC-MASTER-003</t>
        </is>
      </c>
      <c r="B66" s="12" t="inlineStr">
        <is>
          <t>Master Data</t>
        </is>
      </c>
      <c r="C66" s="12" t="inlineStr">
        <is>
          <t>Medium</t>
        </is>
      </c>
      <c r="D66" s="12" t="inlineStr">
        <is>
          <t>Delete a master data value</t>
        </is>
      </c>
      <c r="E66" s="12" t="inlineStr"/>
      <c r="F66" s="12" t="inlineStr"/>
      <c r="G66" s="12" t="inlineStr"/>
      <c r="H66" s="12" t="inlineStr"/>
      <c r="I66" s="12" t="inlineStr"/>
    </row>
    <row r="67" ht="35" customHeight="1">
      <c r="A67" s="11" t="inlineStr">
        <is>
          <t>TC-MASTER-004</t>
        </is>
      </c>
      <c r="B67" s="11" t="inlineStr">
        <is>
          <t>Master Data</t>
        </is>
      </c>
      <c r="C67" s="11" t="inlineStr">
        <is>
          <t>Medium</t>
        </is>
      </c>
      <c r="D67" s="11" t="inlineStr">
        <is>
          <t>Duplicate master data value rejected</t>
        </is>
      </c>
      <c r="E67" s="11" t="inlineStr"/>
      <c r="F67" s="11" t="inlineStr"/>
      <c r="G67" s="11" t="inlineStr"/>
      <c r="H67" s="11" t="inlineStr"/>
      <c r="I67" s="11" t="inlineStr"/>
    </row>
    <row r="68" ht="35" customHeight="1">
      <c r="A68" s="12" t="inlineStr">
        <is>
          <t>TC-ADMIN-001</t>
        </is>
      </c>
      <c r="B68" s="12" t="inlineStr">
        <is>
          <t>Admin / Users</t>
        </is>
      </c>
      <c r="C68" s="14" t="inlineStr">
        <is>
          <t>Critical</t>
        </is>
      </c>
      <c r="D68" s="12" t="inlineStr">
        <is>
          <t>Create new user</t>
        </is>
      </c>
      <c r="E68" s="12" t="inlineStr"/>
      <c r="F68" s="12" t="inlineStr"/>
      <c r="G68" s="12" t="inlineStr"/>
      <c r="H68" s="12" t="inlineStr"/>
      <c r="I68" s="12" t="inlineStr"/>
    </row>
    <row r="69" ht="35" customHeight="1">
      <c r="A69" s="11" t="inlineStr">
        <is>
          <t>TC-ADMIN-002</t>
        </is>
      </c>
      <c r="B69" s="11" t="inlineStr">
        <is>
          <t>Admin / Users</t>
        </is>
      </c>
      <c r="C69" s="15" t="inlineStr">
        <is>
          <t>High</t>
        </is>
      </c>
      <c r="D69" s="11" t="inlineStr">
        <is>
          <t>Edit user role</t>
        </is>
      </c>
      <c r="E69" s="11" t="inlineStr"/>
      <c r="F69" s="11" t="inlineStr"/>
      <c r="G69" s="11" t="inlineStr"/>
      <c r="H69" s="11" t="inlineStr"/>
      <c r="I69" s="11" t="inlineStr"/>
    </row>
    <row r="70" ht="35" customHeight="1">
      <c r="A70" s="12" t="inlineStr">
        <is>
          <t>TC-ADMIN-003</t>
        </is>
      </c>
      <c r="B70" s="12" t="inlineStr">
        <is>
          <t>Admin / Users</t>
        </is>
      </c>
      <c r="C70" s="15" t="inlineStr">
        <is>
          <t>High</t>
        </is>
      </c>
      <c r="D70" s="12" t="inlineStr">
        <is>
          <t>Deactivate user</t>
        </is>
      </c>
      <c r="E70" s="12" t="inlineStr"/>
      <c r="F70" s="12" t="inlineStr"/>
      <c r="G70" s="12" t="inlineStr"/>
      <c r="H70" s="12" t="inlineStr"/>
      <c r="I70" s="12" t="inlineStr"/>
    </row>
    <row r="71" ht="35" customHeight="1">
      <c r="A71" s="11" t="inlineStr">
        <is>
          <t>TC-ADMIN-004</t>
        </is>
      </c>
      <c r="B71" s="11" t="inlineStr">
        <is>
          <t>Admin / Users</t>
        </is>
      </c>
      <c r="C71" s="15" t="inlineStr">
        <is>
          <t>High</t>
        </is>
      </c>
      <c r="D71" s="11" t="inlineStr">
        <is>
          <t>Reactivate user</t>
        </is>
      </c>
      <c r="E71" s="11" t="inlineStr"/>
      <c r="F71" s="11" t="inlineStr"/>
      <c r="G71" s="11" t="inlineStr"/>
      <c r="H71" s="11" t="inlineStr"/>
      <c r="I71" s="11" t="inlineStr"/>
    </row>
    <row r="72" ht="35" customHeight="1">
      <c r="A72" s="12" t="inlineStr">
        <is>
          <t>TC-ADMIN-005</t>
        </is>
      </c>
      <c r="B72" s="12" t="inlineStr">
        <is>
          <t>Admin / Users</t>
        </is>
      </c>
      <c r="C72" s="12" t="inlineStr">
        <is>
          <t>Medium</t>
        </is>
      </c>
      <c r="D72" s="12" t="inlineStr">
        <is>
          <t>Login audit log records events</t>
        </is>
      </c>
      <c r="E72" s="12" t="inlineStr"/>
      <c r="F72" s="12" t="inlineStr"/>
      <c r="G72" s="12" t="inlineStr"/>
      <c r="H72" s="12" t="inlineStr"/>
      <c r="I72" s="12" t="inlineStr"/>
    </row>
    <row r="73" ht="35" customHeight="1">
      <c r="A73" s="11" t="inlineStr">
        <is>
          <t>TC-RPT-001</t>
        </is>
      </c>
      <c r="B73" s="11" t="inlineStr">
        <is>
          <t>Reports &amp; Export</t>
        </is>
      </c>
      <c r="C73" s="15" t="inlineStr">
        <is>
          <t>High</t>
        </is>
      </c>
      <c r="D73" s="11" t="inlineStr">
        <is>
          <t>Export devices CSV</t>
        </is>
      </c>
      <c r="E73" s="11" t="inlineStr"/>
      <c r="F73" s="11" t="inlineStr"/>
      <c r="G73" s="11" t="inlineStr"/>
      <c r="H73" s="11" t="inlineStr"/>
      <c r="I73" s="11" t="inlineStr"/>
    </row>
    <row r="74" ht="35" customHeight="1">
      <c r="A74" s="12" t="inlineStr">
        <is>
          <t>TC-RPT-002</t>
        </is>
      </c>
      <c r="B74" s="12" t="inlineStr">
        <is>
          <t>Reports &amp; Export</t>
        </is>
      </c>
      <c r="C74" s="15" t="inlineStr">
        <is>
          <t>High</t>
        </is>
      </c>
      <c r="D74" s="12" t="inlineStr">
        <is>
          <t>Export sales CSV</t>
        </is>
      </c>
      <c r="E74" s="12" t="inlineStr"/>
      <c r="F74" s="12" t="inlineStr"/>
      <c r="G74" s="12" t="inlineStr"/>
      <c r="H74" s="12" t="inlineStr"/>
      <c r="I74" s="12" t="inlineStr"/>
    </row>
    <row r="75" ht="35" customHeight="1">
      <c r="A75" s="11" t="inlineStr">
        <is>
          <t>TC-RPT-003</t>
        </is>
      </c>
      <c r="B75" s="11" t="inlineStr">
        <is>
          <t>Reports &amp; Export</t>
        </is>
      </c>
      <c r="C75" s="15" t="inlineStr">
        <is>
          <t>High</t>
        </is>
      </c>
      <c r="D75" s="11" t="inlineStr">
        <is>
          <t>Export spare parts consumption CSV</t>
        </is>
      </c>
      <c r="E75" s="11" t="inlineStr"/>
      <c r="F75" s="11" t="inlineStr"/>
      <c r="G75" s="11" t="inlineStr"/>
      <c r="H75" s="11" t="inlineStr"/>
      <c r="I75" s="11" t="inlineStr"/>
    </row>
    <row r="76" ht="35" customHeight="1">
      <c r="A76" s="12" t="inlineStr">
        <is>
          <t>TC-RPT-004</t>
        </is>
      </c>
      <c r="B76" s="12" t="inlineStr">
        <is>
          <t>Reports &amp; Export</t>
        </is>
      </c>
      <c r="C76" s="12" t="inlineStr">
        <is>
          <t>Medium</t>
        </is>
      </c>
      <c r="D76" s="12" t="inlineStr">
        <is>
          <t>Export stage movements CSV</t>
        </is>
      </c>
      <c r="E76" s="12" t="inlineStr"/>
      <c r="F76" s="12" t="inlineStr"/>
      <c r="G76" s="12" t="inlineStr"/>
      <c r="H76" s="12" t="inlineStr"/>
      <c r="I76" s="12" t="inlineStr"/>
    </row>
    <row r="77" ht="35" customHeight="1">
      <c r="A77" s="11" t="inlineStr">
        <is>
          <t>TC-SEC-001</t>
        </is>
      </c>
      <c r="B77" s="11" t="inlineStr">
        <is>
          <t>Security &amp; Access</t>
        </is>
      </c>
      <c r="C77" s="14" t="inlineStr">
        <is>
          <t>Critical</t>
        </is>
      </c>
      <c r="D77" s="11" t="inlineStr">
        <is>
          <t>Direct URL access without authentication</t>
        </is>
      </c>
      <c r="E77" s="11" t="inlineStr"/>
      <c r="F77" s="11" t="inlineStr"/>
      <c r="G77" s="11" t="inlineStr"/>
      <c r="H77" s="11" t="inlineStr"/>
      <c r="I77" s="11" t="inlineStr"/>
    </row>
    <row r="78" ht="35" customHeight="1">
      <c r="A78" s="12" t="inlineStr">
        <is>
          <t>TC-SEC-002</t>
        </is>
      </c>
      <c r="B78" s="12" t="inlineStr">
        <is>
          <t>Security &amp; Access</t>
        </is>
      </c>
      <c r="C78" s="14" t="inlineStr">
        <is>
          <t>Critical</t>
        </is>
      </c>
      <c r="D78" s="12" t="inlineStr">
        <is>
          <t>L1 engineer cannot access Sales module</t>
        </is>
      </c>
      <c r="E78" s="12" t="inlineStr"/>
      <c r="F78" s="12" t="inlineStr"/>
      <c r="G78" s="12" t="inlineStr"/>
      <c r="H78" s="12" t="inlineStr"/>
      <c r="I78" s="12" t="inlineStr"/>
    </row>
    <row r="79" ht="35" customHeight="1">
      <c r="A79" s="11" t="inlineStr">
        <is>
          <t>TC-SEC-003</t>
        </is>
      </c>
      <c r="B79" s="11" t="inlineStr">
        <is>
          <t>Security &amp; Access</t>
        </is>
      </c>
      <c r="C79" s="15" t="inlineStr">
        <is>
          <t>High</t>
        </is>
      </c>
      <c r="D79" s="11" t="inlineStr">
        <is>
          <t>Spare Parts Manager cannot access Admin</t>
        </is>
      </c>
      <c r="E79" s="11" t="inlineStr"/>
      <c r="F79" s="11" t="inlineStr"/>
      <c r="G79" s="11" t="inlineStr"/>
      <c r="H79" s="11" t="inlineStr"/>
      <c r="I79" s="11" t="inlineStr"/>
    </row>
    <row r="80" ht="35" customHeight="1">
      <c r="A80" s="12" t="inlineStr">
        <is>
          <t>TC-SEC-004</t>
        </is>
      </c>
      <c r="B80" s="12" t="inlineStr">
        <is>
          <t>Security &amp; Access</t>
        </is>
      </c>
      <c r="C80" s="15" t="inlineStr">
        <is>
          <t>High</t>
        </is>
      </c>
      <c r="D80" s="12" t="inlineStr">
        <is>
          <t>Sales user cannot create lots</t>
        </is>
      </c>
      <c r="E80" s="12" t="inlineStr"/>
      <c r="F80" s="12" t="inlineStr"/>
      <c r="G80" s="12" t="inlineStr"/>
      <c r="H80" s="12" t="inlineStr"/>
      <c r="I80" s="12" t="inlineStr"/>
    </row>
    <row r="81" ht="35" customHeight="1">
      <c r="A81" s="11" t="inlineStr">
        <is>
          <t>TC-SEC-005</t>
        </is>
      </c>
      <c r="B81" s="11" t="inlineStr">
        <is>
          <t>Security &amp; Access</t>
        </is>
      </c>
      <c r="C81" s="11" t="inlineStr">
        <is>
          <t>Medium</t>
        </is>
      </c>
      <c r="D81" s="11" t="inlineStr">
        <is>
          <t>Session expires after inactivity</t>
        </is>
      </c>
      <c r="E81" s="11" t="inlineStr"/>
      <c r="F81" s="11" t="inlineStr"/>
      <c r="G81" s="11" t="inlineStr"/>
      <c r="H81" s="11" t="inlineStr"/>
      <c r="I81" s="11" t="inlineStr"/>
    </row>
  </sheetData>
  <autoFilter ref="A1:I1"/>
  <dataValidations count="1">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showDropDown="0" showInputMessage="0" showErrorMessage="0" allowBlank="1" type="list">
      <formula1>"Pass,Fail,Blocked,Not Tested,N/A"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2:F41"/>
  <sheetViews>
    <sheetView showGridLines="0" workbookViewId="0">
      <selection activeCell="A1" sqref="A1"/>
    </sheetView>
  </sheetViews>
  <sheetFormatPr baseColWidth="8" defaultRowHeight="15"/>
  <cols>
    <col width="18" customWidth="1" min="1" max="1"/>
    <col width="15" customWidth="1" min="2" max="2"/>
    <col width="15" customWidth="1" min="3" max="3"/>
    <col width="10" customWidth="1" min="4" max="4"/>
    <col width="10" customWidth="1" min="5" max="5"/>
    <col width="30" customWidth="1" min="6" max="6"/>
  </cols>
  <sheetData>
    <row r="1" ht="18" customHeight="1"/>
    <row r="2" ht="40" customHeight="1">
      <c r="A2" s="18" t="inlineStr">
        <is>
          <t>OxyPC IMS — UAT Execution Summary</t>
        </is>
      </c>
      <c r="B2" s="8" t="n"/>
      <c r="C2" s="8" t="n"/>
      <c r="D2" s="8" t="n"/>
      <c r="E2" s="8" t="n"/>
      <c r="F2" s="6" t="n"/>
    </row>
    <row r="3" ht="18" customHeight="1"/>
    <row r="4" ht="20" customHeight="1">
      <c r="A4" s="19" t="inlineStr">
        <is>
          <t>Metric</t>
        </is>
      </c>
      <c r="B4" s="8" t="n"/>
      <c r="C4" s="6" t="n"/>
      <c r="D4" s="19" t="inlineStr">
        <is>
          <t>Count</t>
        </is>
      </c>
      <c r="E4" s="6" t="n"/>
      <c r="F4" s="19" t="inlineStr">
        <is>
          <t>Formula Reference</t>
        </is>
      </c>
    </row>
    <row r="5" ht="22" customHeight="1">
      <c r="A5" s="20" t="inlineStr">
        <is>
          <t>Total Test Cases</t>
        </is>
      </c>
      <c r="B5" s="8" t="n"/>
      <c r="C5" s="6" t="n"/>
      <c r="D5" s="21">
        <f>80</f>
        <v/>
      </c>
      <c r="E5" s="6" t="n"/>
      <c r="F5" s="22" t="inlineStr"/>
    </row>
    <row r="6" ht="22" customHeight="1">
      <c r="A6" s="22" t="inlineStr">
        <is>
          <t>Pass</t>
        </is>
      </c>
      <c r="B6" s="8" t="n"/>
      <c r="C6" s="6" t="n"/>
      <c r="D6" s="21">
        <f>COUNTIF('📊 Execution Tracker'!G2:G81,"Pass")</f>
        <v/>
      </c>
      <c r="E6" s="6" t="n"/>
      <c r="F6" s="22" t="inlineStr">
        <is>
          <t>COUNTIF('📊 Execution Tracker'!G:G,"Pass")</t>
        </is>
      </c>
    </row>
    <row r="7" ht="22" customHeight="1">
      <c r="A7" s="20" t="inlineStr">
        <is>
          <t>Fail</t>
        </is>
      </c>
      <c r="B7" s="8" t="n"/>
      <c r="C7" s="6" t="n"/>
      <c r="D7" s="21">
        <f>COUNTIF('📊 Execution Tracker'!G2:G81,"Fail")</f>
        <v/>
      </c>
      <c r="E7" s="6" t="n"/>
      <c r="F7" s="22" t="inlineStr">
        <is>
          <t>COUNTIF('📊 Execution Tracker'!G:G,"Fail")</t>
        </is>
      </c>
    </row>
    <row r="8" ht="22" customHeight="1">
      <c r="A8" s="22" t="inlineStr">
        <is>
          <t>Blocked</t>
        </is>
      </c>
      <c r="B8" s="8" t="n"/>
      <c r="C8" s="6" t="n"/>
      <c r="D8" s="21">
        <f>COUNTIF('📊 Execution Tracker'!G2:G81,"Blocked")</f>
        <v/>
      </c>
      <c r="E8" s="6" t="n"/>
      <c r="F8" s="22" t="inlineStr">
        <is>
          <t>COUNTIF('📊 Execution Tracker'!G:G,"Blocked")</t>
        </is>
      </c>
    </row>
    <row r="9" ht="22" customHeight="1">
      <c r="A9" s="20" t="inlineStr">
        <is>
          <t>Not Tested</t>
        </is>
      </c>
      <c r="B9" s="8" t="n"/>
      <c r="C9" s="6" t="n"/>
      <c r="D9" s="21">
        <f>COUNTIF('📊 Execution Tracker'!G2:G81,"Not Tested")</f>
        <v/>
      </c>
      <c r="E9" s="6" t="n"/>
      <c r="F9" s="22" t="inlineStr">
        <is>
          <t>COUNTIF('📊 Execution Tracker'!G:G,"Not Tested")</t>
        </is>
      </c>
    </row>
    <row r="10" ht="22" customHeight="1">
      <c r="A10" s="22" t="inlineStr">
        <is>
          <t>Not Applicable (N/A)</t>
        </is>
      </c>
      <c r="B10" s="8" t="n"/>
      <c r="C10" s="6" t="n"/>
      <c r="D10" s="21">
        <f>COUNTIF('📊 Execution Tracker'!G2:G81,"N/A")</f>
        <v/>
      </c>
      <c r="E10" s="6" t="n"/>
      <c r="F10" s="22" t="inlineStr">
        <is>
          <t>COUNTIF('📊 Execution Tracker'!G:G,"N/A")</t>
        </is>
      </c>
    </row>
    <row r="11" ht="22" customHeight="1">
      <c r="A11" s="20" t="inlineStr">
        <is>
          <t>Executed</t>
        </is>
      </c>
      <c r="B11" s="8" t="n"/>
      <c r="C11" s="6" t="n"/>
      <c r="D11" s="21">
        <f>B6+B7+B8</f>
        <v/>
      </c>
      <c r="E11" s="6" t="n"/>
      <c r="F11" s="22" t="inlineStr">
        <is>
          <t>Pass + Fail + Blocked</t>
        </is>
      </c>
    </row>
    <row r="12" ht="22" customHeight="1">
      <c r="A12" s="22" t="inlineStr">
        <is>
          <t>Pass Rate %</t>
        </is>
      </c>
      <c r="B12" s="8" t="n"/>
      <c r="C12" s="6" t="n"/>
      <c r="D12" s="23">
        <f>IFERROR(B6/B11*100,0)</f>
        <v/>
      </c>
      <c r="E12" s="6" t="n"/>
      <c r="F12" s="22" t="inlineStr">
        <is>
          <t>(Pass / Executed) x 100</t>
        </is>
      </c>
    </row>
    <row r="13" ht="22" customHeight="1">
      <c r="A13" s="20" t="inlineStr">
        <is>
          <t>Execution Rate %</t>
        </is>
      </c>
      <c r="B13" s="8" t="n"/>
      <c r="C13" s="6" t="n"/>
      <c r="D13" s="23">
        <f>IFERROR(B11/B5*100,0)</f>
        <v/>
      </c>
      <c r="E13" s="6" t="n"/>
      <c r="F13" s="22" t="inlineStr">
        <is>
          <t>(Executed / Total) x 100</t>
        </is>
      </c>
    </row>
    <row r="14" ht="18" customHeight="1"/>
    <row r="15" ht="22" customHeight="1">
      <c r="A15" s="24" t="inlineStr">
        <is>
          <t>By Priority</t>
        </is>
      </c>
      <c r="B15" s="8" t="n"/>
      <c r="C15" s="8" t="n"/>
      <c r="D15" s="8" t="n"/>
      <c r="E15" s="8" t="n"/>
      <c r="F15" s="6" t="n"/>
    </row>
    <row r="16" ht="22" customHeight="1">
      <c r="A16" s="25" t="inlineStr">
        <is>
          <t>Critical</t>
        </is>
      </c>
      <c r="B16" s="8" t="n"/>
      <c r="C16" s="6" t="n"/>
      <c r="D16" s="26">
        <f>COUNTIF('📊 Execution Tracker'!C2:C81,"Critical")</f>
        <v/>
      </c>
      <c r="E16" s="8" t="n"/>
      <c r="F16" s="6" t="n"/>
    </row>
    <row r="17" ht="22" customHeight="1">
      <c r="A17" s="27" t="inlineStr">
        <is>
          <t>High</t>
        </is>
      </c>
      <c r="B17" s="8" t="n"/>
      <c r="C17" s="6" t="n"/>
      <c r="D17" s="28">
        <f>COUNTIF('📊 Execution Tracker'!C2:C81,"High")</f>
        <v/>
      </c>
      <c r="E17" s="8" t="n"/>
      <c r="F17" s="6" t="n"/>
    </row>
    <row r="18" ht="22" customHeight="1">
      <c r="A18" s="5" t="inlineStr">
        <is>
          <t>Medium</t>
        </is>
      </c>
      <c r="B18" s="8" t="n"/>
      <c r="C18" s="6" t="n"/>
      <c r="D18" s="29">
        <f>COUNTIF('📊 Execution Tracker'!C2:C81,"Medium")</f>
        <v/>
      </c>
      <c r="E18" s="8" t="n"/>
      <c r="F18" s="6" t="n"/>
    </row>
    <row r="19" ht="22" customHeight="1">
      <c r="A19" s="30" t="inlineStr">
        <is>
          <t>Low</t>
        </is>
      </c>
      <c r="B19" s="8" t="n"/>
      <c r="C19" s="6" t="n"/>
      <c r="D19" s="31">
        <f>COUNTIF('📊 Execution Tracker'!C2:C81,"Low")</f>
        <v/>
      </c>
      <c r="E19" s="8" t="n"/>
      <c r="F19" s="6" t="n"/>
    </row>
    <row r="21" ht="18" customHeight="1"/>
    <row r="22" ht="22" customHeight="1">
      <c r="A22" s="24" t="inlineStr">
        <is>
          <t>By Module</t>
        </is>
      </c>
      <c r="B22" s="8" t="n"/>
      <c r="C22" s="8" t="n"/>
      <c r="D22" s="8" t="n"/>
      <c r="E22" s="8" t="n"/>
      <c r="F22" s="6" t="n"/>
    </row>
    <row r="23" ht="20" customHeight="1">
      <c r="A23" s="20" t="inlineStr">
        <is>
          <t>Authentication</t>
        </is>
      </c>
      <c r="B23" s="8" t="n"/>
      <c r="C23" s="6" t="n"/>
      <c r="D23" s="32" t="n">
        <v>7</v>
      </c>
      <c r="E23" s="6" t="n"/>
      <c r="F23" s="33">
        <f>COUNTIFS('📊 Execution Tracker'!B2:B81,"Authentication",'📊 Execution Tracker'!G2:G81,"Pass")</f>
        <v/>
      </c>
    </row>
    <row r="24" ht="20" customHeight="1">
      <c r="A24" s="22" t="inlineStr">
        <is>
          <t>Lot Management</t>
        </is>
      </c>
      <c r="B24" s="8" t="n"/>
      <c r="C24" s="6" t="n"/>
      <c r="D24" s="34" t="n">
        <v>4</v>
      </c>
      <c r="E24" s="6" t="n"/>
      <c r="F24" s="35">
        <f>COUNTIFS('📊 Execution Tracker'!B2:B81,"Lot Management",'📊 Execution Tracker'!G2:G81,"Pass")</f>
        <v/>
      </c>
    </row>
    <row r="25" ht="20" customHeight="1">
      <c r="A25" s="20" t="inlineStr">
        <is>
          <t>IQC</t>
        </is>
      </c>
      <c r="B25" s="8" t="n"/>
      <c r="C25" s="6" t="n"/>
      <c r="D25" s="32" t="n">
        <v>7</v>
      </c>
      <c r="E25" s="6" t="n"/>
      <c r="F25" s="33">
        <f>COUNTIFS('📊 Execution Tracker'!B2:B81,"IQC",'📊 Execution Tracker'!G2:G81,"Pass")</f>
        <v/>
      </c>
    </row>
    <row r="26" ht="20" customHeight="1">
      <c r="A26" s="22" t="inlineStr">
        <is>
          <t>Stock In</t>
        </is>
      </c>
      <c r="B26" s="8" t="n"/>
      <c r="C26" s="6" t="n"/>
      <c r="D26" s="34" t="n">
        <v>3</v>
      </c>
      <c r="E26" s="6" t="n"/>
      <c r="F26" s="35">
        <f>COUNTIFS('📊 Execution Tracker'!B2:B81,"Stock In",'📊 Execution Tracker'!G2:G81,"Pass")</f>
        <v/>
      </c>
    </row>
    <row r="27" ht="20" customHeight="1">
      <c r="A27" s="20" t="inlineStr">
        <is>
          <t>L1 Repair</t>
        </is>
      </c>
      <c r="B27" s="8" t="n"/>
      <c r="C27" s="6" t="n"/>
      <c r="D27" s="32" t="n">
        <v>4</v>
      </c>
      <c r="E27" s="6" t="n"/>
      <c r="F27" s="33">
        <f>COUNTIFS('📊 Execution Tracker'!B2:B81,"L1 Repair",'📊 Execution Tracker'!G2:G81,"Pass")</f>
        <v/>
      </c>
    </row>
    <row r="28" ht="20" customHeight="1">
      <c r="A28" s="22" t="inlineStr">
        <is>
          <t>L2 Repair</t>
        </is>
      </c>
      <c r="B28" s="8" t="n"/>
      <c r="C28" s="6" t="n"/>
      <c r="D28" s="34" t="n">
        <v>2</v>
      </c>
      <c r="E28" s="6" t="n"/>
      <c r="F28" s="35">
        <f>COUNTIFS('📊 Execution Tracker'!B2:B81,"L2 Repair",'📊 Execution Tracker'!G2:G81,"Pass")</f>
        <v/>
      </c>
    </row>
    <row r="29" ht="20" customHeight="1">
      <c r="A29" s="20" t="inlineStr">
        <is>
          <t>L3 Repair</t>
        </is>
      </c>
      <c r="B29" s="8" t="n"/>
      <c r="C29" s="6" t="n"/>
      <c r="D29" s="32" t="n">
        <v>1</v>
      </c>
      <c r="E29" s="6" t="n"/>
      <c r="F29" s="33">
        <f>COUNTIFS('📊 Execution Tracker'!B2:B81,"L3 Repair",'📊 Execution Tracker'!G2:G81,"Pass")</f>
        <v/>
      </c>
    </row>
    <row r="30" ht="20" customHeight="1">
      <c r="A30" s="22" t="inlineStr">
        <is>
          <t>QC Check</t>
        </is>
      </c>
      <c r="B30" s="8" t="n"/>
      <c r="C30" s="6" t="n"/>
      <c r="D30" s="34" t="n">
        <v>5</v>
      </c>
      <c r="E30" s="6" t="n"/>
      <c r="F30" s="35">
        <f>COUNTIFS('📊 Execution Tracker'!B2:B81,"QC Check",'📊 Execution Tracker'!G2:G81,"Pass")</f>
        <v/>
      </c>
    </row>
    <row r="31" ht="20" customHeight="1">
      <c r="A31" s="20" t="inlineStr">
        <is>
          <t>Cosmetic Pipeline</t>
        </is>
      </c>
      <c r="B31" s="8" t="n"/>
      <c r="C31" s="6" t="n"/>
      <c r="D31" s="32" t="n">
        <v>5</v>
      </c>
      <c r="E31" s="6" t="n"/>
      <c r="F31" s="33">
        <f>COUNTIFS('📊 Execution Tracker'!B2:B81,"Cosmetic Pipeline",'📊 Execution Tracker'!G2:G81,"Pass")</f>
        <v/>
      </c>
    </row>
    <row r="32" ht="20" customHeight="1">
      <c r="A32" s="22" t="inlineStr">
        <is>
          <t>Sales</t>
        </is>
      </c>
      <c r="B32" s="8" t="n"/>
      <c r="C32" s="6" t="n"/>
      <c r="D32" s="34" t="n">
        <v>4</v>
      </c>
      <c r="E32" s="6" t="n"/>
      <c r="F32" s="35">
        <f>COUNTIFS('📊 Execution Tracker'!B2:B81,"Sales",'📊 Execution Tracker'!G2:G81,"Pass")</f>
        <v/>
      </c>
    </row>
    <row r="33" ht="20" customHeight="1">
      <c r="A33" s="20" t="inlineStr">
        <is>
          <t>Returns</t>
        </is>
      </c>
      <c r="B33" s="8" t="n"/>
      <c r="C33" s="6" t="n"/>
      <c r="D33" s="32" t="n">
        <v>3</v>
      </c>
      <c r="E33" s="6" t="n"/>
      <c r="F33" s="33">
        <f>COUNTIFS('📊 Execution Tracker'!B2:B81,"Returns",'📊 Execution Tracker'!G2:G81,"Pass")</f>
        <v/>
      </c>
    </row>
    <row r="34" ht="20" customHeight="1">
      <c r="A34" s="22" t="inlineStr">
        <is>
          <t>Spare Parts</t>
        </is>
      </c>
      <c r="B34" s="8" t="n"/>
      <c r="C34" s="6" t="n"/>
      <c r="D34" s="34" t="n">
        <v>5</v>
      </c>
      <c r="E34" s="6" t="n"/>
      <c r="F34" s="35">
        <f>COUNTIFS('📊 Execution Tracker'!B2:B81,"Spare Parts",'📊 Execution Tracker'!G2:G81,"Pass")</f>
        <v/>
      </c>
    </row>
    <row r="35" ht="20" customHeight="1">
      <c r="A35" s="20" t="inlineStr">
        <is>
          <t>RAM Tracking</t>
        </is>
      </c>
      <c r="B35" s="8" t="n"/>
      <c r="C35" s="6" t="n"/>
      <c r="D35" s="32" t="n">
        <v>3</v>
      </c>
      <c r="E35" s="6" t="n"/>
      <c r="F35" s="33">
        <f>COUNTIFS('📊 Execution Tracker'!B2:B81,"RAM Tracking",'📊 Execution Tracker'!G2:G81,"Pass")</f>
        <v/>
      </c>
    </row>
    <row r="36" ht="20" customHeight="1">
      <c r="A36" s="22" t="inlineStr">
        <is>
          <t>Dashboard</t>
        </is>
      </c>
      <c r="B36" s="8" t="n"/>
      <c r="C36" s="6" t="n"/>
      <c r="D36" s="34" t="n">
        <v>3</v>
      </c>
      <c r="E36" s="6" t="n"/>
      <c r="F36" s="35">
        <f>COUNTIFS('📊 Execution Tracker'!B2:B81,"Dashboard",'📊 Execution Tracker'!G2:G81,"Pass")</f>
        <v/>
      </c>
    </row>
    <row r="37" ht="20" customHeight="1">
      <c r="A37" s="20" t="inlineStr">
        <is>
          <t>Bulk Upload</t>
        </is>
      </c>
      <c r="B37" s="8" t="n"/>
      <c r="C37" s="6" t="n"/>
      <c r="D37" s="32" t="n">
        <v>6</v>
      </c>
      <c r="E37" s="6" t="n"/>
      <c r="F37" s="33">
        <f>COUNTIFS('📊 Execution Tracker'!B2:B81,"Bulk Upload",'📊 Execution Tracker'!G2:G81,"Pass")</f>
        <v/>
      </c>
    </row>
    <row r="38" ht="20" customHeight="1">
      <c r="A38" s="22" t="inlineStr">
        <is>
          <t>Master Data</t>
        </is>
      </c>
      <c r="B38" s="8" t="n"/>
      <c r="C38" s="6" t="n"/>
      <c r="D38" s="34" t="n">
        <v>4</v>
      </c>
      <c r="E38" s="6" t="n"/>
      <c r="F38" s="35">
        <f>COUNTIFS('📊 Execution Tracker'!B2:B81,"Master Data",'📊 Execution Tracker'!G2:G81,"Pass")</f>
        <v/>
      </c>
    </row>
    <row r="39" ht="20" customHeight="1">
      <c r="A39" s="20" t="inlineStr">
        <is>
          <t>Admin / Users</t>
        </is>
      </c>
      <c r="B39" s="8" t="n"/>
      <c r="C39" s="6" t="n"/>
      <c r="D39" s="32" t="n">
        <v>5</v>
      </c>
      <c r="E39" s="6" t="n"/>
      <c r="F39" s="33">
        <f>COUNTIFS('📊 Execution Tracker'!B2:B81,"Admin / Users",'📊 Execution Tracker'!G2:G81,"Pass")</f>
        <v/>
      </c>
    </row>
    <row r="40" ht="20" customHeight="1">
      <c r="A40" s="22" t="inlineStr">
        <is>
          <t>Reports &amp; Export</t>
        </is>
      </c>
      <c r="B40" s="8" t="n"/>
      <c r="C40" s="6" t="n"/>
      <c r="D40" s="34" t="n">
        <v>4</v>
      </c>
      <c r="E40" s="6" t="n"/>
      <c r="F40" s="35">
        <f>COUNTIFS('📊 Execution Tracker'!B2:B81,"Reports &amp; Export",'📊 Execution Tracker'!G2:G81,"Pass")</f>
        <v/>
      </c>
    </row>
    <row r="41" ht="20" customHeight="1">
      <c r="A41" s="20" t="inlineStr">
        <is>
          <t>Security &amp; Access</t>
        </is>
      </c>
      <c r="B41" s="8" t="n"/>
      <c r="C41" s="6" t="n"/>
      <c r="D41" s="32" t="n">
        <v>5</v>
      </c>
      <c r="E41" s="6" t="n"/>
      <c r="F41" s="33">
        <f>COUNTIFS('📊 Execution Tracker'!B2:B81,"Security &amp; Access",'📊 Execution Tracker'!G2:G81,"Pass")</f>
        <v/>
      </c>
    </row>
  </sheetData>
  <mergeCells count="69">
    <mergeCell ref="A25:C25"/>
    <mergeCell ref="A41:C41"/>
    <mergeCell ref="D10:E10"/>
    <mergeCell ref="A37:C37"/>
    <mergeCell ref="D34:E34"/>
    <mergeCell ref="A18:C18"/>
    <mergeCell ref="A27:C27"/>
    <mergeCell ref="D17:F17"/>
    <mergeCell ref="D40:E40"/>
    <mergeCell ref="A12:C12"/>
    <mergeCell ref="D31:E31"/>
    <mergeCell ref="D36:E36"/>
    <mergeCell ref="A26:C26"/>
    <mergeCell ref="D16:F16"/>
    <mergeCell ref="A2:F2"/>
    <mergeCell ref="D6:E6"/>
    <mergeCell ref="A33:C33"/>
    <mergeCell ref="A5:C5"/>
    <mergeCell ref="A23:C23"/>
    <mergeCell ref="A32:C32"/>
    <mergeCell ref="D11:E11"/>
    <mergeCell ref="A8:C8"/>
    <mergeCell ref="D13:E13"/>
    <mergeCell ref="D27:E27"/>
    <mergeCell ref="A17:C17"/>
    <mergeCell ref="D18:F18"/>
    <mergeCell ref="A22:F22"/>
    <mergeCell ref="D32:E32"/>
    <mergeCell ref="D41:E41"/>
    <mergeCell ref="A29:C29"/>
    <mergeCell ref="A4:C4"/>
    <mergeCell ref="A35:C35"/>
    <mergeCell ref="A38:C38"/>
    <mergeCell ref="A10:C10"/>
    <mergeCell ref="A28:C28"/>
    <mergeCell ref="A13:C13"/>
    <mergeCell ref="A19:C19"/>
    <mergeCell ref="D7:E7"/>
    <mergeCell ref="A31:C31"/>
    <mergeCell ref="D37:E37"/>
    <mergeCell ref="A40:C40"/>
    <mergeCell ref="A9:C9"/>
    <mergeCell ref="D28:E28"/>
    <mergeCell ref="D4:E4"/>
    <mergeCell ref="A30:C30"/>
    <mergeCell ref="A39:C39"/>
    <mergeCell ref="A34:C34"/>
    <mergeCell ref="D9:E9"/>
    <mergeCell ref="A15:F15"/>
    <mergeCell ref="A24:C24"/>
    <mergeCell ref="D12:E12"/>
    <mergeCell ref="D39:E39"/>
    <mergeCell ref="D8:E8"/>
    <mergeCell ref="D25:E25"/>
    <mergeCell ref="D19:F19"/>
    <mergeCell ref="A36:C36"/>
    <mergeCell ref="A11:C11"/>
    <mergeCell ref="D24:E24"/>
    <mergeCell ref="D30:E30"/>
    <mergeCell ref="D33:E33"/>
    <mergeCell ref="D29:E29"/>
    <mergeCell ref="D5:E5"/>
    <mergeCell ref="A6:C6"/>
    <mergeCell ref="D23:E23"/>
    <mergeCell ref="D38:E38"/>
    <mergeCell ref="A7:C7"/>
    <mergeCell ref="D26:E26"/>
    <mergeCell ref="A16:C16"/>
    <mergeCell ref="D35:E3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40" customWidth="1" min="3" max="3"/>
    <col width="40" customWidth="1" min="4" max="4"/>
  </cols>
  <sheetData>
    <row r="1" ht="28" customHeight="1">
      <c r="A1" s="13" t="inlineStr">
        <is>
          <t>Category</t>
        </is>
      </c>
      <c r="B1" s="13" t="inlineStr">
        <is>
          <t>Field</t>
        </is>
      </c>
      <c r="C1" s="13" t="inlineStr">
        <is>
          <t>Test Value</t>
        </is>
      </c>
      <c r="D1" s="13" t="inlineStr">
        <is>
          <t>Notes</t>
        </is>
      </c>
    </row>
    <row r="2" ht="20" customHeight="1">
      <c r="A2" s="36" t="inlineStr">
        <is>
          <t>User — Admin</t>
        </is>
      </c>
      <c r="B2" s="12" t="inlineStr">
        <is>
          <t>Username</t>
        </is>
      </c>
      <c r="C2" s="12" t="inlineStr">
        <is>
          <t>admin</t>
        </is>
      </c>
      <c r="D2" s="12" t="inlineStr">
        <is>
          <t>Default admin created by setup_db.py</t>
        </is>
      </c>
    </row>
    <row r="3" ht="20" customHeight="1">
      <c r="A3" s="36" t="inlineStr">
        <is>
          <t>User — Admin</t>
        </is>
      </c>
      <c r="B3" s="11" t="inlineStr">
        <is>
          <t>Password</t>
        </is>
      </c>
      <c r="C3" s="11" t="inlineStr">
        <is>
          <t>Admin@1234</t>
        </is>
      </c>
      <c r="D3" s="11" t="inlineStr">
        <is>
          <t>Change on first production use</t>
        </is>
      </c>
    </row>
    <row r="4" ht="20" customHeight="1">
      <c r="A4" s="36" t="inlineStr">
        <is>
          <t>User — IQC</t>
        </is>
      </c>
      <c r="B4" s="12" t="inlineStr">
        <is>
          <t>Username</t>
        </is>
      </c>
      <c r="C4" s="12" t="inlineStr">
        <is>
          <t>iqc1</t>
        </is>
      </c>
      <c r="D4" s="12" t="inlineStr">
        <is>
          <t>Seeded by seed_dummy_data.py</t>
        </is>
      </c>
    </row>
    <row r="5" ht="20" customHeight="1">
      <c r="A5" s="36" t="inlineStr">
        <is>
          <t>User — IQC</t>
        </is>
      </c>
      <c r="B5" s="11" t="inlineStr">
        <is>
          <t>Password</t>
        </is>
      </c>
      <c r="C5" s="11" t="inlineStr">
        <is>
          <t>Test@1234</t>
        </is>
      </c>
      <c r="D5" s="11" t="inlineStr">
        <is>
          <t>All seeded users same password</t>
        </is>
      </c>
    </row>
    <row r="6" ht="20" customHeight="1">
      <c r="A6" s="36" t="inlineStr">
        <is>
          <t>User — L1</t>
        </is>
      </c>
      <c r="B6" s="12" t="inlineStr">
        <is>
          <t>Username</t>
        </is>
      </c>
      <c r="C6" s="12" t="inlineStr">
        <is>
          <t>l1eng</t>
        </is>
      </c>
      <c r="D6" s="12" t="inlineStr">
        <is>
          <t>L1 Engineer role</t>
        </is>
      </c>
    </row>
    <row r="7" ht="20" customHeight="1">
      <c r="A7" s="36" t="inlineStr">
        <is>
          <t>User — L2</t>
        </is>
      </c>
      <c r="B7" s="11" t="inlineStr">
        <is>
          <t>Username</t>
        </is>
      </c>
      <c r="C7" s="11" t="inlineStr">
        <is>
          <t>l2eng</t>
        </is>
      </c>
      <c r="D7" s="11" t="inlineStr">
        <is>
          <t>L2 Engineer role</t>
        </is>
      </c>
    </row>
    <row r="8" ht="20" customHeight="1">
      <c r="A8" s="36" t="inlineStr">
        <is>
          <t>User — QC</t>
        </is>
      </c>
      <c r="B8" s="12" t="inlineStr">
        <is>
          <t>Username</t>
        </is>
      </c>
      <c r="C8" s="12" t="inlineStr">
        <is>
          <t>qcinsp</t>
        </is>
      </c>
      <c r="D8" s="12" t="inlineStr">
        <is>
          <t>QC Inspector role</t>
        </is>
      </c>
    </row>
    <row r="9" ht="20" customHeight="1">
      <c r="A9" s="36" t="inlineStr">
        <is>
          <t>User — Sales</t>
        </is>
      </c>
      <c r="B9" s="11" t="inlineStr">
        <is>
          <t>Username</t>
        </is>
      </c>
      <c r="C9" s="11" t="inlineStr">
        <is>
          <t>salesexec</t>
        </is>
      </c>
      <c r="D9" s="11" t="inlineStr">
        <is>
          <t>Sales Executive role</t>
        </is>
      </c>
    </row>
    <row r="10" ht="20" customHeight="1">
      <c r="A10" s="36" t="inlineStr">
        <is>
          <t>User — Inventory</t>
        </is>
      </c>
      <c r="B10" s="12" t="inlineStr">
        <is>
          <t>Username</t>
        </is>
      </c>
      <c r="C10" s="12" t="inlineStr">
        <is>
          <t>invmgr</t>
        </is>
      </c>
      <c r="D10" s="12" t="inlineStr">
        <is>
          <t>Inventory Manager role</t>
        </is>
      </c>
    </row>
    <row r="11" ht="20" customHeight="1">
      <c r="A11" s="36" t="inlineStr">
        <is>
          <t>User — Spare Parts</t>
        </is>
      </c>
      <c r="B11" s="11" t="inlineStr">
        <is>
          <t>Username</t>
        </is>
      </c>
      <c r="C11" s="11" t="inlineStr">
        <is>
          <t>spares1</t>
        </is>
      </c>
      <c r="D11" s="11" t="inlineStr">
        <is>
          <t>Spare Parts Manager role</t>
        </is>
      </c>
    </row>
    <row r="12" ht="20" customHeight="1">
      <c r="A12" s="37" t="inlineStr">
        <is>
          <t>Lot</t>
        </is>
      </c>
      <c r="B12" s="12" t="inlineStr">
        <is>
          <t>Lot Number</t>
        </is>
      </c>
      <c r="C12" s="12" t="inlineStr">
        <is>
          <t>LOT-UAT-001</t>
        </is>
      </c>
      <c r="D12" s="12" t="inlineStr">
        <is>
          <t>Manual UAT test lot</t>
        </is>
      </c>
    </row>
    <row r="13" ht="20" customHeight="1">
      <c r="A13" s="37" t="inlineStr">
        <is>
          <t>Lot</t>
        </is>
      </c>
      <c r="B13" s="11" t="inlineStr">
        <is>
          <t>Supplier</t>
        </is>
      </c>
      <c r="C13" s="11" t="inlineStr">
        <is>
          <t>ABC Traders</t>
        </is>
      </c>
      <c r="D13" s="11" t="inlineStr">
        <is>
          <t>Test supplier</t>
        </is>
      </c>
    </row>
    <row r="14" ht="20" customHeight="1">
      <c r="A14" s="37" t="inlineStr">
        <is>
          <t>Lot</t>
        </is>
      </c>
      <c r="B14" s="12" t="inlineStr">
        <is>
          <t>Buying Price</t>
        </is>
      </c>
      <c r="C14" s="12" t="inlineStr">
        <is>
          <t>85000</t>
        </is>
      </c>
      <c r="D14" s="12" t="inlineStr">
        <is>
          <t>INR</t>
        </is>
      </c>
    </row>
    <row r="15" ht="20" customHeight="1">
      <c r="A15" s="37" t="inlineStr">
        <is>
          <t>Lot</t>
        </is>
      </c>
      <c r="B15" s="11" t="inlineStr">
        <is>
          <t>Quantity</t>
        </is>
      </c>
      <c r="C15" s="11" t="inlineStr">
        <is>
          <t>10</t>
        </is>
      </c>
      <c r="D15" s="11" t="inlineStr">
        <is>
          <t>Devices in lot</t>
        </is>
      </c>
    </row>
    <row r="16" ht="20" customHeight="1">
      <c r="A16" s="37" t="inlineStr">
        <is>
          <t>Lot</t>
        </is>
      </c>
      <c r="B16" s="12" t="inlineStr">
        <is>
          <t>Purchase Date</t>
        </is>
      </c>
      <c r="C16" s="12" t="inlineStr">
        <is>
          <t>2026-03-15</t>
        </is>
      </c>
      <c r="D16" s="12" t="inlineStr">
        <is>
          <t>YYYY-MM-DD format</t>
        </is>
      </c>
    </row>
    <row r="17" ht="20" customHeight="1">
      <c r="A17" s="37" t="inlineStr">
        <is>
          <t>Lot</t>
        </is>
      </c>
      <c r="B17" s="11" t="inlineStr">
        <is>
          <t>Invoice Number</t>
        </is>
      </c>
      <c r="C17" s="11" t="inlineStr">
        <is>
          <t>INV-UAT-2026-001</t>
        </is>
      </c>
      <c r="D17" s="11" t="inlineStr"/>
    </row>
    <row r="18" ht="20" customHeight="1">
      <c r="A18" s="38" t="inlineStr">
        <is>
          <t>Device</t>
        </is>
      </c>
      <c r="B18" s="12" t="inlineStr">
        <is>
          <t>Barcode</t>
        </is>
      </c>
      <c r="C18" s="12" t="inlineStr">
        <is>
          <t>OXY-UAT-00001</t>
        </is>
      </c>
      <c r="D18" s="12" t="inlineStr">
        <is>
          <t>First UAT test device</t>
        </is>
      </c>
    </row>
    <row r="19" ht="20" customHeight="1">
      <c r="A19" s="38" t="inlineStr">
        <is>
          <t>Device</t>
        </is>
      </c>
      <c r="B19" s="11" t="inlineStr">
        <is>
          <t>Barcode (2)</t>
        </is>
      </c>
      <c r="C19" s="11" t="inlineStr">
        <is>
          <t>OXY-UAT-00002</t>
        </is>
      </c>
      <c r="D19" s="11" t="inlineStr">
        <is>
          <t>Second UAT test device (minimal fields)</t>
        </is>
      </c>
    </row>
    <row r="20" ht="20" customHeight="1">
      <c r="A20" s="38" t="inlineStr">
        <is>
          <t>Device</t>
        </is>
      </c>
      <c r="B20" s="12" t="inlineStr">
        <is>
          <t>Brand</t>
        </is>
      </c>
      <c r="C20" s="12" t="inlineStr">
        <is>
          <t>HP</t>
        </is>
      </c>
      <c r="D20" s="12" t="inlineStr">
        <is>
          <t>From master data</t>
        </is>
      </c>
    </row>
    <row r="21" ht="20" customHeight="1">
      <c r="A21" s="38" t="inlineStr">
        <is>
          <t>Device</t>
        </is>
      </c>
      <c r="B21" s="11" t="inlineStr">
        <is>
          <t>Model</t>
        </is>
      </c>
      <c r="C21" s="11" t="inlineStr">
        <is>
          <t>EliteBook 840 G6</t>
        </is>
      </c>
      <c r="D21" s="11" t="inlineStr"/>
    </row>
    <row r="22" ht="20" customHeight="1">
      <c r="A22" s="38" t="inlineStr">
        <is>
          <t>Device</t>
        </is>
      </c>
      <c r="B22" s="12" t="inlineStr">
        <is>
          <t>CPU</t>
        </is>
      </c>
      <c r="C22" s="12" t="inlineStr">
        <is>
          <t>Intel Core i5-8250U</t>
        </is>
      </c>
      <c r="D22" s="12" t="inlineStr"/>
    </row>
    <row r="23" ht="20" customHeight="1">
      <c r="A23" s="38" t="inlineStr">
        <is>
          <t>Device</t>
        </is>
      </c>
      <c r="B23" s="11" t="inlineStr">
        <is>
          <t>Generation</t>
        </is>
      </c>
      <c r="C23" s="11" t="inlineStr">
        <is>
          <t>8th Gen</t>
        </is>
      </c>
      <c r="D23" s="11" t="inlineStr"/>
    </row>
    <row r="24" ht="20" customHeight="1">
      <c r="A24" s="38" t="inlineStr">
        <is>
          <t>Device</t>
        </is>
      </c>
      <c r="B24" s="12" t="inlineStr">
        <is>
          <t>RAM (GB)</t>
        </is>
      </c>
      <c r="C24" s="12" t="inlineStr">
        <is>
          <t>8</t>
        </is>
      </c>
      <c r="D24" s="12" t="inlineStr"/>
    </row>
    <row r="25" ht="20" customHeight="1">
      <c r="A25" s="38" t="inlineStr">
        <is>
          <t>Device</t>
        </is>
      </c>
      <c r="B25" s="11" t="inlineStr">
        <is>
          <t>SSD (GB)</t>
        </is>
      </c>
      <c r="C25" s="11" t="inlineStr">
        <is>
          <t>256</t>
        </is>
      </c>
      <c r="D25" s="11" t="inlineStr"/>
    </row>
    <row r="26" ht="20" customHeight="1">
      <c r="A26" s="38" t="inlineStr">
        <is>
          <t>Device</t>
        </is>
      </c>
      <c r="B26" s="12" t="inlineStr">
        <is>
          <t>Storage Type</t>
        </is>
      </c>
      <c r="C26" s="12" t="inlineStr">
        <is>
          <t>SSD</t>
        </is>
      </c>
      <c r="D26" s="12" t="inlineStr"/>
    </row>
    <row r="27" ht="20" customHeight="1">
      <c r="A27" s="38" t="inlineStr">
        <is>
          <t>Device</t>
        </is>
      </c>
      <c r="B27" s="11" t="inlineStr">
        <is>
          <t>Screen Size</t>
        </is>
      </c>
      <c r="C27" s="11" t="inlineStr">
        <is>
          <t>14.0 FHD</t>
        </is>
      </c>
      <c r="D27" s="11" t="inlineStr"/>
    </row>
    <row r="28" ht="20" customHeight="1">
      <c r="A28" s="38" t="inlineStr">
        <is>
          <t>Device</t>
        </is>
      </c>
      <c r="B28" s="12" t="inlineStr">
        <is>
          <t>Battery Health %</t>
        </is>
      </c>
      <c r="C28" s="12" t="inlineStr">
        <is>
          <t>78</t>
        </is>
      </c>
      <c r="D28" s="12" t="inlineStr"/>
    </row>
    <row r="29" ht="20" customHeight="1">
      <c r="A29" s="38" t="inlineStr">
        <is>
          <t>Device</t>
        </is>
      </c>
      <c r="B29" s="11" t="inlineStr">
        <is>
          <t>Grade</t>
        </is>
      </c>
      <c r="C29" s="11" t="inlineStr">
        <is>
          <t>B</t>
        </is>
      </c>
      <c r="D29" s="11" t="inlineStr">
        <is>
          <t>A/B/C/D/Scrap</t>
        </is>
      </c>
    </row>
    <row r="30" ht="20" customHeight="1">
      <c r="A30" s="38" t="inlineStr">
        <is>
          <t>Device</t>
        </is>
      </c>
      <c r="B30" s="12" t="inlineStr">
        <is>
          <t>Floor</t>
        </is>
      </c>
      <c r="C30" s="12" t="inlineStr">
        <is>
          <t>Floor 1</t>
        </is>
      </c>
      <c r="D30" s="12" t="inlineStr"/>
    </row>
    <row r="31" ht="20" customHeight="1">
      <c r="A31" s="38" t="inlineStr">
        <is>
          <t>Device</t>
        </is>
      </c>
      <c r="B31" s="11" t="inlineStr">
        <is>
          <t>BIOS Password</t>
        </is>
      </c>
      <c r="C31" s="11" t="inlineStr">
        <is>
          <t>No</t>
        </is>
      </c>
      <c r="D31" s="11" t="inlineStr">
        <is>
          <t>yes/no</t>
        </is>
      </c>
    </row>
    <row r="32" ht="20" customHeight="1">
      <c r="A32" s="39" t="inlineStr">
        <is>
          <t>Sale</t>
        </is>
      </c>
      <c r="B32" s="12" t="inlineStr">
        <is>
          <t>Sale Number</t>
        </is>
      </c>
      <c r="C32" s="12" t="inlineStr">
        <is>
          <t>SALE-UAT-001</t>
        </is>
      </c>
      <c r="D32" s="12" t="inlineStr"/>
    </row>
    <row r="33" ht="20" customHeight="1">
      <c r="A33" s="39" t="inlineStr">
        <is>
          <t>Sale</t>
        </is>
      </c>
      <c r="B33" s="11" t="inlineStr">
        <is>
          <t>Sale Price</t>
        </is>
      </c>
      <c r="C33" s="11" t="inlineStr">
        <is>
          <t>25000</t>
        </is>
      </c>
      <c r="D33" s="11" t="inlineStr">
        <is>
          <t>INR</t>
        </is>
      </c>
    </row>
    <row r="34" ht="20" customHeight="1">
      <c r="A34" s="39" t="inlineStr">
        <is>
          <t>Sale</t>
        </is>
      </c>
      <c r="B34" s="12" t="inlineStr">
        <is>
          <t>Customer Name</t>
        </is>
      </c>
      <c r="C34" s="12" t="inlineStr">
        <is>
          <t>Rahul Sharma</t>
        </is>
      </c>
      <c r="D34" s="12" t="inlineStr"/>
    </row>
    <row r="35" ht="20" customHeight="1">
      <c r="A35" s="39" t="inlineStr">
        <is>
          <t>Sale</t>
        </is>
      </c>
      <c r="B35" s="11" t="inlineStr">
        <is>
          <t>Customer Phone</t>
        </is>
      </c>
      <c r="C35" s="11" t="inlineStr">
        <is>
          <t>9876543210</t>
        </is>
      </c>
      <c r="D35" s="11" t="inlineStr">
        <is>
          <t>10-digit</t>
        </is>
      </c>
    </row>
    <row r="36" ht="20" customHeight="1">
      <c r="A36" s="39" t="inlineStr">
        <is>
          <t>Sale</t>
        </is>
      </c>
      <c r="B36" s="12" t="inlineStr">
        <is>
          <t>Payment Mode</t>
        </is>
      </c>
      <c r="C36" s="12" t="inlineStr">
        <is>
          <t>UPI</t>
        </is>
      </c>
      <c r="D36" s="12" t="inlineStr">
        <is>
          <t>Cash/UPI/Card/Credit/Cheque</t>
        </is>
      </c>
    </row>
    <row r="37" ht="20" customHeight="1">
      <c r="A37" s="39" t="inlineStr">
        <is>
          <t>Sale</t>
        </is>
      </c>
      <c r="B37" s="11" t="inlineStr">
        <is>
          <t>Invoice Number</t>
        </is>
      </c>
      <c r="C37" s="11" t="inlineStr">
        <is>
          <t>SINV-UAT-001</t>
        </is>
      </c>
      <c r="D37" s="11" t="inlineStr"/>
    </row>
    <row r="38" ht="20" customHeight="1">
      <c r="A38" s="40" t="inlineStr">
        <is>
          <t>Spare Part</t>
        </is>
      </c>
      <c r="B38" s="12" t="inlineStr">
        <is>
          <t>Part Code</t>
        </is>
      </c>
      <c r="C38" s="12" t="inlineStr">
        <is>
          <t>RAM-DDR4-16G</t>
        </is>
      </c>
      <c r="D38" s="12" t="inlineStr"/>
    </row>
    <row r="39" ht="20" customHeight="1">
      <c r="A39" s="40" t="inlineStr">
        <is>
          <t>Spare Part</t>
        </is>
      </c>
      <c r="B39" s="11" t="inlineStr">
        <is>
          <t>Name</t>
        </is>
      </c>
      <c r="C39" s="11" t="inlineStr">
        <is>
          <t>DDR4 16GB RAM</t>
        </is>
      </c>
      <c r="D39" s="11" t="inlineStr"/>
    </row>
    <row r="40" ht="20" customHeight="1">
      <c r="A40" s="40" t="inlineStr">
        <is>
          <t>Spare Part</t>
        </is>
      </c>
      <c r="B40" s="12" t="inlineStr">
        <is>
          <t>Category</t>
        </is>
      </c>
      <c r="C40" s="12" t="inlineStr">
        <is>
          <t>RAM</t>
        </is>
      </c>
      <c r="D40" s="12" t="inlineStr"/>
    </row>
    <row r="41" ht="20" customHeight="1">
      <c r="A41" s="40" t="inlineStr">
        <is>
          <t>Spare Part</t>
        </is>
      </c>
      <c r="B41" s="11" t="inlineStr">
        <is>
          <t>Unit Price</t>
        </is>
      </c>
      <c r="C41" s="11" t="inlineStr">
        <is>
          <t>2500</t>
        </is>
      </c>
      <c r="D41" s="11" t="inlineStr">
        <is>
          <t>INR</t>
        </is>
      </c>
    </row>
    <row r="42" ht="20" customHeight="1">
      <c r="A42" s="40" t="inlineStr">
        <is>
          <t>Spare Part</t>
        </is>
      </c>
      <c r="B42" s="12" t="inlineStr">
        <is>
          <t>Qty in Stock</t>
        </is>
      </c>
      <c r="C42" s="12" t="inlineStr">
        <is>
          <t>5</t>
        </is>
      </c>
      <c r="D42" s="12" t="inlineStr"/>
    </row>
    <row r="43" ht="20" customHeight="1">
      <c r="A43" s="40" t="inlineStr">
        <is>
          <t>Spare Part</t>
        </is>
      </c>
      <c r="B43" s="11" t="inlineStr">
        <is>
          <t>Min Stock Alert</t>
        </is>
      </c>
      <c r="C43" s="11" t="inlineStr">
        <is>
          <t>2</t>
        </is>
      </c>
      <c r="D43" s="11" t="inlineStr"/>
    </row>
    <row r="44" ht="20" customHeight="1">
      <c r="A44" s="40" t="inlineStr">
        <is>
          <t>Spare Part</t>
        </is>
      </c>
      <c r="B44" s="12" t="inlineStr">
        <is>
          <t>Supplier</t>
        </is>
      </c>
      <c r="C44" s="12" t="inlineStr">
        <is>
          <t>TechParts Ltd</t>
        </is>
      </c>
      <c r="D44" s="12" t="inlineStr"/>
    </row>
    <row r="45" ht="20" customHeight="1">
      <c r="A45" s="11" t="inlineStr">
        <is>
          <t>Return</t>
        </is>
      </c>
      <c r="B45" s="11" t="inlineStr">
        <is>
          <t>Reason</t>
        </is>
      </c>
      <c r="C45" s="11" t="inlineStr">
        <is>
          <t>Device not working as described</t>
        </is>
      </c>
      <c r="D45" s="11" t="inlineStr"/>
    </row>
    <row r="46" ht="20" customHeight="1">
      <c r="A46" s="12" t="inlineStr">
        <is>
          <t>Return</t>
        </is>
      </c>
      <c r="B46" s="12" t="inlineStr">
        <is>
          <t>Condition on Return</t>
        </is>
      </c>
      <c r="C46" s="12" t="inlineStr">
        <is>
          <t>As Sold</t>
        </is>
      </c>
      <c r="D46" s="12" t="inlineStr">
        <is>
          <t>As Sold/Minor Damage/Major Damage</t>
        </is>
      </c>
    </row>
    <row r="47" ht="20" customHeight="1">
      <c r="A47" s="11" t="inlineStr">
        <is>
          <t>Return</t>
        </is>
      </c>
      <c r="B47" s="11" t="inlineStr">
        <is>
          <t>Refund Amount</t>
        </is>
      </c>
      <c r="C47" s="11" t="inlineStr">
        <is>
          <t>15000</t>
        </is>
      </c>
      <c r="D47" s="11" t="inlineStr">
        <is>
          <t>INR — partial refund</t>
        </is>
      </c>
    </row>
    <row r="48" ht="20" customHeight="1">
      <c r="A48" s="38" t="inlineStr">
        <is>
          <t>Seeded — Devices</t>
        </is>
      </c>
      <c r="B48" s="12" t="inlineStr">
        <is>
          <t>Barcode prefix</t>
        </is>
      </c>
      <c r="C48" s="12" t="inlineStr">
        <is>
          <t>OXY-TEST-00001 to OXY-TEST-00090</t>
        </is>
      </c>
      <c r="D48" s="12" t="inlineStr">
        <is>
          <t>90 devices across all stages</t>
        </is>
      </c>
    </row>
    <row r="49" ht="20" customHeight="1">
      <c r="A49" s="37" t="inlineStr">
        <is>
          <t>Seeded — Lots</t>
        </is>
      </c>
      <c r="B49" s="11" t="inlineStr">
        <is>
          <t>Lot prefix</t>
        </is>
      </c>
      <c r="C49" s="11" t="inlineStr">
        <is>
          <t>LOT-TEST-001 to LOT-TEST-005</t>
        </is>
      </c>
      <c r="D49" s="11" t="inlineStr">
        <is>
          <t>5 test lots</t>
        </is>
      </c>
    </row>
    <row r="50" ht="20" customHeight="1">
      <c r="A50" s="39" t="inlineStr">
        <is>
          <t>Seeded — Sales</t>
        </is>
      </c>
      <c r="B50" s="12" t="inlineStr">
        <is>
          <t>Sale prefix</t>
        </is>
      </c>
      <c r="C50" s="12" t="inlineStr">
        <is>
          <t>SALE-SEED-0001 to SALE-SEED-0025</t>
        </is>
      </c>
      <c r="D50" s="12" t="inlineStr">
        <is>
          <t>25 seeded sales</t>
        </is>
      </c>
    </row>
    <row r="51" ht="20" customHeight="1">
      <c r="A51" s="41" t="inlineStr">
        <is>
          <t>Seeded — Parts</t>
        </is>
      </c>
      <c r="B51" s="11" t="inlineStr">
        <is>
          <t>Part prefix</t>
        </is>
      </c>
      <c r="C51" s="11" t="inlineStr">
        <is>
          <t>PART-SEED-0001 to PART-SEED-0017</t>
        </is>
      </c>
      <c r="D51" s="11" t="inlineStr">
        <is>
          <t>17 spare parts</t>
        </is>
      </c>
    </row>
  </sheetData>
  <autoFilter ref="A1:D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6"/>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35" customWidth="1" min="4" max="4"/>
    <col width="50" customWidth="1" min="5" max="5"/>
    <col width="12" customWidth="1" min="6" max="6"/>
    <col width="10" customWidth="1" min="7" max="7"/>
    <col width="16" customWidth="1" min="8" max="8"/>
    <col width="14" customWidth="1" min="9" max="9"/>
    <col width="22" customWidth="1" min="10" max="10"/>
    <col width="18" customWidth="1" min="11" max="11"/>
    <col width="14" customWidth="1" min="12" max="12"/>
    <col width="14" customWidth="1" min="13" max="13"/>
    <col width="35" customWidth="1" min="14" max="14"/>
  </cols>
  <sheetData>
    <row r="1" ht="30" customHeight="1">
      <c r="A1" s="42" t="inlineStr">
        <is>
          <t>Defect ID</t>
        </is>
      </c>
      <c r="B1" s="42" t="inlineStr">
        <is>
          <t>TC ID</t>
        </is>
      </c>
      <c r="C1" s="42" t="inlineStr">
        <is>
          <t>Module</t>
        </is>
      </c>
      <c r="D1" s="42" t="inlineStr">
        <is>
          <t>Defect Title</t>
        </is>
      </c>
      <c r="E1" s="42" t="inlineStr">
        <is>
          <t>Description / Steps to Reproduce</t>
        </is>
      </c>
      <c r="F1" s="42" t="inlineStr">
        <is>
          <t>Severity</t>
        </is>
      </c>
      <c r="G1" s="42" t="inlineStr">
        <is>
          <t>Priority</t>
        </is>
      </c>
      <c r="H1" s="42" t="inlineStr">
        <is>
          <t>Found By</t>
        </is>
      </c>
      <c r="I1" s="42" t="inlineStr">
        <is>
          <t>Date Found</t>
        </is>
      </c>
      <c r="J1" s="42" t="inlineStr">
        <is>
          <t>Screenshot/Attachment</t>
        </is>
      </c>
      <c r="K1" s="42" t="inlineStr">
        <is>
          <t>Assigned To</t>
        </is>
      </c>
      <c r="L1" s="42" t="inlineStr">
        <is>
          <t>Status</t>
        </is>
      </c>
      <c r="M1" s="42" t="inlineStr">
        <is>
          <t>Fixed Date</t>
        </is>
      </c>
      <c r="N1" s="42" t="inlineStr">
        <is>
          <t>Resolution Notes</t>
        </is>
      </c>
    </row>
    <row r="2" ht="45" customHeight="1">
      <c r="A2" s="43" t="inlineStr">
        <is>
          <t>BUG-0001</t>
        </is>
      </c>
      <c r="B2" s="43" t="inlineStr"/>
      <c r="C2" s="43" t="inlineStr"/>
      <c r="D2" s="43" t="inlineStr"/>
      <c r="E2" s="43" t="inlineStr"/>
      <c r="F2" s="43" t="inlineStr"/>
      <c r="G2" s="43" t="inlineStr"/>
      <c r="H2" s="43" t="inlineStr"/>
      <c r="I2" s="43" t="inlineStr"/>
      <c r="J2" s="43" t="inlineStr"/>
      <c r="K2" s="43" t="inlineStr"/>
      <c r="L2" s="43" t="inlineStr">
        <is>
          <t>Open</t>
        </is>
      </c>
      <c r="M2" s="43" t="inlineStr"/>
      <c r="N2" s="43" t="inlineStr"/>
    </row>
    <row r="3" ht="45" customHeight="1">
      <c r="A3" s="7" t="inlineStr">
        <is>
          <t>BUG-0002</t>
        </is>
      </c>
      <c r="B3" s="7" t="inlineStr"/>
      <c r="C3" s="7" t="inlineStr"/>
      <c r="D3" s="7" t="inlineStr"/>
      <c r="E3" s="7" t="inlineStr"/>
      <c r="F3" s="7" t="inlineStr"/>
      <c r="G3" s="7" t="inlineStr"/>
      <c r="H3" s="7" t="inlineStr"/>
      <c r="I3" s="7" t="inlineStr"/>
      <c r="J3" s="7" t="inlineStr"/>
      <c r="K3" s="7" t="inlineStr"/>
      <c r="L3" s="7" t="inlineStr">
        <is>
          <t>Open</t>
        </is>
      </c>
      <c r="M3" s="7" t="inlineStr"/>
      <c r="N3" s="7" t="inlineStr"/>
    </row>
    <row r="4" ht="45" customHeight="1">
      <c r="A4" s="43" t="inlineStr">
        <is>
          <t>BUG-0003</t>
        </is>
      </c>
      <c r="B4" s="43" t="inlineStr"/>
      <c r="C4" s="43" t="inlineStr"/>
      <c r="D4" s="43" t="inlineStr"/>
      <c r="E4" s="43" t="inlineStr"/>
      <c r="F4" s="43" t="inlineStr"/>
      <c r="G4" s="43" t="inlineStr"/>
      <c r="H4" s="43" t="inlineStr"/>
      <c r="I4" s="43" t="inlineStr"/>
      <c r="J4" s="43" t="inlineStr"/>
      <c r="K4" s="43" t="inlineStr"/>
      <c r="L4" s="43" t="inlineStr">
        <is>
          <t>Open</t>
        </is>
      </c>
      <c r="M4" s="43" t="inlineStr"/>
      <c r="N4" s="43" t="inlineStr"/>
    </row>
    <row r="5" ht="45" customHeight="1">
      <c r="A5" s="7" t="inlineStr">
        <is>
          <t>BUG-0004</t>
        </is>
      </c>
      <c r="B5" s="7" t="inlineStr"/>
      <c r="C5" s="7" t="inlineStr"/>
      <c r="D5" s="7" t="inlineStr"/>
      <c r="E5" s="7" t="inlineStr"/>
      <c r="F5" s="7" t="inlineStr"/>
      <c r="G5" s="7" t="inlineStr"/>
      <c r="H5" s="7" t="inlineStr"/>
      <c r="I5" s="7" t="inlineStr"/>
      <c r="J5" s="7" t="inlineStr"/>
      <c r="K5" s="7" t="inlineStr"/>
      <c r="L5" s="7" t="inlineStr">
        <is>
          <t>Open</t>
        </is>
      </c>
      <c r="M5" s="7" t="inlineStr"/>
      <c r="N5" s="7" t="inlineStr"/>
    </row>
    <row r="6" ht="45" customHeight="1">
      <c r="A6" s="43" t="inlineStr">
        <is>
          <t>BUG-0005</t>
        </is>
      </c>
      <c r="B6" s="43" t="inlineStr"/>
      <c r="C6" s="43" t="inlineStr"/>
      <c r="D6" s="43" t="inlineStr"/>
      <c r="E6" s="43" t="inlineStr"/>
      <c r="F6" s="43" t="inlineStr"/>
      <c r="G6" s="43" t="inlineStr"/>
      <c r="H6" s="43" t="inlineStr"/>
      <c r="I6" s="43" t="inlineStr"/>
      <c r="J6" s="43" t="inlineStr"/>
      <c r="K6" s="43" t="inlineStr"/>
      <c r="L6" s="43" t="inlineStr">
        <is>
          <t>Open</t>
        </is>
      </c>
      <c r="M6" s="43" t="inlineStr"/>
      <c r="N6" s="43" t="inlineStr"/>
    </row>
  </sheetData>
  <autoFilter ref="A1:N1"/>
  <dataValidations count="2">
    <dataValidation sqref="F2 F3 F4 F5 F6" showDropDown="0" showInputMessage="0" showErrorMessage="0" allowBlank="1" type="list">
      <formula1>"Critical,High,Medium,Low"</formula1>
    </dataValidation>
    <dataValidation sqref="L2 L3 L4 L5 L6" showDropDown="0" showInputMessage="0" showErrorMessage="0" allowBlank="1" type="list">
      <formula1>"Open,In Progress,Fixed,Closed,Rejected,Deferred"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9"/>
  <sheetViews>
    <sheetView showGridLines="0" workbookViewId="0">
      <pane ySplit="2" topLeftCell="A3" activePane="bottomLeft" state="frozen"/>
      <selection pane="bottomLeft" activeCell="A1" sqref="A1"/>
    </sheetView>
  </sheetViews>
  <sheetFormatPr baseColWidth="8" defaultRowHeight="15"/>
  <cols>
    <col width="12" customWidth="1" min="1" max="1"/>
    <col width="18" customWidth="1" min="2" max="2"/>
    <col width="10" customWidth="1" min="3" max="3"/>
    <col width="14" customWidth="1" min="4" max="4"/>
    <col width="35" customWidth="1" min="5" max="5"/>
    <col width="30" customWidth="1" min="6" max="6"/>
    <col width="55" customWidth="1" min="7" max="7"/>
    <col width="35" customWidth="1" min="8" max="8"/>
    <col width="40" customWidth="1" min="9" max="9"/>
    <col width="30" customWidth="1" min="10" max="10"/>
    <col width="12" customWidth="1" min="11" max="11"/>
    <col width="22" customWidth="1" min="12" max="12"/>
  </cols>
  <sheetData>
    <row r="1" ht="32" customHeight="1">
      <c r="A1" s="44" t="inlineStr">
        <is>
          <t>OxyPC UAT — 01 — Auth</t>
        </is>
      </c>
    </row>
    <row r="2" ht="28" customHeight="1">
      <c r="A2" s="10" t="inlineStr">
        <is>
          <t>TC ID</t>
        </is>
      </c>
      <c r="B2" s="10" t="inlineStr">
        <is>
          <t>Module</t>
        </is>
      </c>
      <c r="C2" s="10" t="inlineStr">
        <is>
          <t>Priority</t>
        </is>
      </c>
      <c r="D2" s="10" t="inlineStr">
        <is>
          <t>Test Type</t>
        </is>
      </c>
      <c r="E2" s="10" t="inlineStr">
        <is>
          <t>Test Scenario</t>
        </is>
      </c>
      <c r="F2" s="10" t="inlineStr">
        <is>
          <t>Pre-Conditions</t>
        </is>
      </c>
      <c r="G2" s="10" t="inlineStr">
        <is>
          <t>Test Steps</t>
        </is>
      </c>
      <c r="H2" s="10" t="inlineStr">
        <is>
          <t>Test Data</t>
        </is>
      </c>
      <c r="I2" s="10" t="inlineStr">
        <is>
          <t>Expected Result</t>
        </is>
      </c>
      <c r="J2" s="10" t="inlineStr">
        <is>
          <t>Actual Result</t>
        </is>
      </c>
      <c r="K2" s="10" t="inlineStr">
        <is>
          <t>Pass / Fail</t>
        </is>
      </c>
      <c r="L2" s="10" t="inlineStr">
        <is>
          <t>Remarks</t>
        </is>
      </c>
    </row>
    <row r="3" ht="55" customHeight="1">
      <c r="A3" s="11" t="inlineStr">
        <is>
          <t>TC-AUTH-001</t>
        </is>
      </c>
      <c r="B3" s="11" t="inlineStr">
        <is>
          <t>Authentication</t>
        </is>
      </c>
      <c r="C3" s="14" t="inlineStr">
        <is>
          <t>Critical</t>
        </is>
      </c>
      <c r="D3" s="11" t="inlineStr">
        <is>
          <t>Positive</t>
        </is>
      </c>
      <c r="E3" s="11" t="inlineStr">
        <is>
          <t>Valid admin login</t>
        </is>
      </c>
      <c r="F3" s="11" t="inlineStr">
        <is>
          <t>Admin user exists; server running</t>
        </is>
      </c>
      <c r="G3" s="11" t="inlineStr">
        <is>
          <t>1. Navigate to http://&lt;server&gt;/
2. Enter username: admin
3. Enter password: Admin@1234
4. Click Login</t>
        </is>
      </c>
      <c r="H3" s="11" t="inlineStr">
        <is>
          <t>user: admin | pwd: Admin@1234</t>
        </is>
      </c>
      <c r="I3" s="11" t="inlineStr">
        <is>
          <t>Dashboard loads; sidebar shows all modules; user name visible in header</t>
        </is>
      </c>
      <c r="J3" s="11" t="inlineStr"/>
      <c r="K3" s="11" t="inlineStr"/>
      <c r="L3" s="11" t="inlineStr"/>
    </row>
    <row r="4" ht="55" customHeight="1">
      <c r="A4" s="12" t="inlineStr">
        <is>
          <t>TC-AUTH-002</t>
        </is>
      </c>
      <c r="B4" s="12" t="inlineStr">
        <is>
          <t>Authentication</t>
        </is>
      </c>
      <c r="C4" s="14" t="inlineStr">
        <is>
          <t>Critical</t>
        </is>
      </c>
      <c r="D4" s="12" t="inlineStr">
        <is>
          <t>Negative</t>
        </is>
      </c>
      <c r="E4" s="12" t="inlineStr">
        <is>
          <t>Invalid password login</t>
        </is>
      </c>
      <c r="F4" s="12" t="inlineStr">
        <is>
          <t>Server running</t>
        </is>
      </c>
      <c r="G4" s="12" t="inlineStr">
        <is>
          <t>1. Navigate to login page
2. Enter username: admin
3. Enter incorrect password: wrong123
4. Click Login</t>
        </is>
      </c>
      <c r="H4" s="12" t="inlineStr">
        <is>
          <t>user: admin | pwd: wrong123</t>
        </is>
      </c>
      <c r="I4" s="12" t="inlineStr">
        <is>
          <t>Error message: 'Invalid credentials'; user stays on login page; no session created</t>
        </is>
      </c>
      <c r="J4" s="12" t="inlineStr"/>
      <c r="K4" s="12" t="inlineStr"/>
      <c r="L4" s="12" t="inlineStr"/>
    </row>
    <row r="5" ht="55" customHeight="1">
      <c r="A5" s="11" t="inlineStr">
        <is>
          <t>TC-AUTH-003</t>
        </is>
      </c>
      <c r="B5" s="11" t="inlineStr">
        <is>
          <t>Authentication</t>
        </is>
      </c>
      <c r="C5" s="14" t="inlineStr">
        <is>
          <t>Critical</t>
        </is>
      </c>
      <c r="D5" s="11" t="inlineStr">
        <is>
          <t>Negative</t>
        </is>
      </c>
      <c r="E5" s="11" t="inlineStr">
        <is>
          <t>Non-existent user login</t>
        </is>
      </c>
      <c r="F5" s="11" t="inlineStr">
        <is>
          <t>Server running</t>
        </is>
      </c>
      <c r="G5" s="11" t="inlineStr">
        <is>
          <t>1. Navigate to login page
2. Enter username: nobody
3. Enter any password
4. Click Login</t>
        </is>
      </c>
      <c r="H5" s="11" t="inlineStr">
        <is>
          <t>user: nobody | pwd: anything</t>
        </is>
      </c>
      <c r="I5" s="11" t="inlineStr">
        <is>
          <t>Error message shown; no access granted</t>
        </is>
      </c>
      <c r="J5" s="11" t="inlineStr"/>
      <c r="K5" s="11" t="inlineStr"/>
      <c r="L5" s="11" t="inlineStr"/>
    </row>
    <row r="6" ht="55" customHeight="1">
      <c r="A6" s="12" t="inlineStr">
        <is>
          <t>TC-AUTH-004</t>
        </is>
      </c>
      <c r="B6" s="12" t="inlineStr">
        <is>
          <t>Authentication</t>
        </is>
      </c>
      <c r="C6" s="15" t="inlineStr">
        <is>
          <t>High</t>
        </is>
      </c>
      <c r="D6" s="12" t="inlineStr">
        <is>
          <t>Negative</t>
        </is>
      </c>
      <c r="E6" s="12" t="inlineStr">
        <is>
          <t>Deactivated user cannot login</t>
        </is>
      </c>
      <c r="F6" s="12" t="inlineStr">
        <is>
          <t>User 'testuser' exists with status=inactive</t>
        </is>
      </c>
      <c r="G6" s="12" t="inlineStr">
        <is>
          <t>1. Admin deactivates a user
2. Attempt login with that user's credentials</t>
        </is>
      </c>
      <c r="H6" s="12" t="inlineStr">
        <is>
          <t>Deactivated user credentials</t>
        </is>
      </c>
      <c r="I6" s="12" t="inlineStr">
        <is>
          <t>Login rejected with 'Account inactive' or similar message</t>
        </is>
      </c>
      <c r="J6" s="12" t="inlineStr"/>
      <c r="K6" s="12" t="inlineStr"/>
      <c r="L6" s="12" t="inlineStr"/>
    </row>
    <row r="7" ht="55" customHeight="1">
      <c r="A7" s="11" t="inlineStr">
        <is>
          <t>TC-AUTH-005</t>
        </is>
      </c>
      <c r="B7" s="11" t="inlineStr">
        <is>
          <t>Authentication</t>
        </is>
      </c>
      <c r="C7" s="15" t="inlineStr">
        <is>
          <t>High</t>
        </is>
      </c>
      <c r="D7" s="11" t="inlineStr">
        <is>
          <t>Positive</t>
        </is>
      </c>
      <c r="E7" s="11" t="inlineStr">
        <is>
          <t>Logout clears session</t>
        </is>
      </c>
      <c r="F7" s="11" t="inlineStr">
        <is>
          <t>User is logged in</t>
        </is>
      </c>
      <c r="G7" s="11" t="inlineStr">
        <is>
          <t>1. Login as any user
2. Click Logout
3. Press browser Back button
4. Try to access /dashboard</t>
        </is>
      </c>
      <c r="H7" s="11" t="inlineStr">
        <is>
          <t>Any valid user</t>
        </is>
      </c>
      <c r="I7" s="11" t="inlineStr">
        <is>
          <t>User is redirected to login page; session cookie cleared</t>
        </is>
      </c>
      <c r="J7" s="11" t="inlineStr"/>
      <c r="K7" s="11" t="inlineStr"/>
      <c r="L7" s="11" t="inlineStr"/>
    </row>
    <row r="8" ht="55" customHeight="1">
      <c r="A8" s="12" t="inlineStr">
        <is>
          <t>TC-AUTH-006</t>
        </is>
      </c>
      <c r="B8" s="12" t="inlineStr">
        <is>
          <t>Authentication</t>
        </is>
      </c>
      <c r="C8" s="15" t="inlineStr">
        <is>
          <t>High</t>
        </is>
      </c>
      <c r="D8" s="12" t="inlineStr">
        <is>
          <t>Security</t>
        </is>
      </c>
      <c r="E8" s="12" t="inlineStr">
        <is>
          <t>Role-based page access — Sales cannot access Admin</t>
        </is>
      </c>
      <c r="F8" s="12" t="inlineStr">
        <is>
          <t>User with Sales role is logged in</t>
        </is>
      </c>
      <c r="G8" s="12" t="inlineStr">
        <is>
          <t>1. Login as salesexec
2. Manually navigate to http://&lt;server&gt;/admin</t>
        </is>
      </c>
      <c r="H8" s="12" t="inlineStr">
        <is>
          <t>user: salesexec | pwd: Test@1234</t>
        </is>
      </c>
      <c r="I8" s="12" t="inlineStr">
        <is>
          <t>403 Forbidden or redirect to login page; Admin module not accessible</t>
        </is>
      </c>
      <c r="J8" s="12" t="inlineStr"/>
      <c r="K8" s="12" t="inlineStr"/>
      <c r="L8" s="12" t="inlineStr"/>
    </row>
    <row r="9" ht="55" customHeight="1">
      <c r="A9" s="11" t="inlineStr">
        <is>
          <t>TC-AUTH-007</t>
        </is>
      </c>
      <c r="B9" s="11" t="inlineStr">
        <is>
          <t>Authentication</t>
        </is>
      </c>
      <c r="C9" s="15" t="inlineStr">
        <is>
          <t>High</t>
        </is>
      </c>
      <c r="D9" s="11" t="inlineStr">
        <is>
          <t>Security</t>
        </is>
      </c>
      <c r="E9" s="11" t="inlineStr">
        <is>
          <t>Role-based access — IQC cannot access Sales</t>
        </is>
      </c>
      <c r="F9" s="11" t="inlineStr">
        <is>
          <t>User with IQC role is logged in</t>
        </is>
      </c>
      <c r="G9" s="11" t="inlineStr">
        <is>
          <t>1. Login as iqc1
2. Navigate to /sales</t>
        </is>
      </c>
      <c r="H9" s="11" t="inlineStr">
        <is>
          <t>user: iqc1 | pwd: Test@1234</t>
        </is>
      </c>
      <c r="I9" s="11" t="inlineStr">
        <is>
          <t>403 error or redirect; IQC user cannot access Sales module</t>
        </is>
      </c>
      <c r="J9" s="11" t="inlineStr"/>
      <c r="K9" s="11" t="inlineStr"/>
      <c r="L9" s="11" t="inlineStr"/>
    </row>
  </sheetData>
  <autoFilter ref="A2:L2"/>
  <mergeCells count="1">
    <mergeCell ref="A1:L1"/>
  </mergeCells>
  <dataValidations count="1">
    <dataValidation sqref="K3 K4 K5 K6 K7 K8 K9" showDropDown="0" showInputMessage="0" showErrorMessage="0" allowBlank="1" type="list">
      <formula1>"Pass,Fail,Blocked,Not Tested,N/A"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6"/>
  <sheetViews>
    <sheetView showGridLines="0" workbookViewId="0">
      <pane ySplit="2" topLeftCell="A3" activePane="bottomLeft" state="frozen"/>
      <selection pane="bottomLeft" activeCell="A1" sqref="A1"/>
    </sheetView>
  </sheetViews>
  <sheetFormatPr baseColWidth="8" defaultRowHeight="15"/>
  <cols>
    <col width="12" customWidth="1" min="1" max="1"/>
    <col width="18" customWidth="1" min="2" max="2"/>
    <col width="10" customWidth="1" min="3" max="3"/>
    <col width="14" customWidth="1" min="4" max="4"/>
    <col width="35" customWidth="1" min="5" max="5"/>
    <col width="30" customWidth="1" min="6" max="6"/>
    <col width="55" customWidth="1" min="7" max="7"/>
    <col width="35" customWidth="1" min="8" max="8"/>
    <col width="40" customWidth="1" min="9" max="9"/>
    <col width="30" customWidth="1" min="10" max="10"/>
    <col width="12" customWidth="1" min="11" max="11"/>
    <col width="22" customWidth="1" min="12" max="12"/>
  </cols>
  <sheetData>
    <row r="1" ht="32" customHeight="1">
      <c r="A1" s="44" t="inlineStr">
        <is>
          <t>OxyPC UAT — 02 — Lot Mgmt</t>
        </is>
      </c>
    </row>
    <row r="2" ht="28" customHeight="1">
      <c r="A2" s="10" t="inlineStr">
        <is>
          <t>TC ID</t>
        </is>
      </c>
      <c r="B2" s="10" t="inlineStr">
        <is>
          <t>Module</t>
        </is>
      </c>
      <c r="C2" s="10" t="inlineStr">
        <is>
          <t>Priority</t>
        </is>
      </c>
      <c r="D2" s="10" t="inlineStr">
        <is>
          <t>Test Type</t>
        </is>
      </c>
      <c r="E2" s="10" t="inlineStr">
        <is>
          <t>Test Scenario</t>
        </is>
      </c>
      <c r="F2" s="10" t="inlineStr">
        <is>
          <t>Pre-Conditions</t>
        </is>
      </c>
      <c r="G2" s="10" t="inlineStr">
        <is>
          <t>Test Steps</t>
        </is>
      </c>
      <c r="H2" s="10" t="inlineStr">
        <is>
          <t>Test Data</t>
        </is>
      </c>
      <c r="I2" s="10" t="inlineStr">
        <is>
          <t>Expected Result</t>
        </is>
      </c>
      <c r="J2" s="10" t="inlineStr">
        <is>
          <t>Actual Result</t>
        </is>
      </c>
      <c r="K2" s="10" t="inlineStr">
        <is>
          <t>Pass / Fail</t>
        </is>
      </c>
      <c r="L2" s="10" t="inlineStr">
        <is>
          <t>Remarks</t>
        </is>
      </c>
    </row>
    <row r="3" ht="55" customHeight="1">
      <c r="A3" s="11" t="inlineStr">
        <is>
          <t>TC-LOT-001</t>
        </is>
      </c>
      <c r="B3" s="11" t="inlineStr">
        <is>
          <t>Lot Management</t>
        </is>
      </c>
      <c r="C3" s="14" t="inlineStr">
        <is>
          <t>Critical</t>
        </is>
      </c>
      <c r="D3" s="11" t="inlineStr">
        <is>
          <t>Positive</t>
        </is>
      </c>
      <c r="E3" s="11" t="inlineStr">
        <is>
          <t>Create new lot</t>
        </is>
      </c>
      <c r="F3" s="11" t="inlineStr">
        <is>
          <t>Admin or Inventory Manager logged in</t>
        </is>
      </c>
      <c r="G3" s="11" t="inlineStr">
        <is>
          <t>1. Go to Lots → New Lot
2. Fill all fields
3. Click Save</t>
        </is>
      </c>
      <c r="H3" s="11" t="inlineStr">
        <is>
          <t>Lot#: LOT-UAT-001 | Supplier: ABC Traders | Price: 85000 | Qty: 10 | Date: 2026-03-15 | Inv#: INV-UAT-001</t>
        </is>
      </c>
      <c r="I3" s="11" t="inlineStr">
        <is>
          <t>Lot created; appears in lot list with correct details; lot count increments by 1</t>
        </is>
      </c>
      <c r="J3" s="11" t="inlineStr"/>
      <c r="K3" s="11" t="inlineStr"/>
      <c r="L3" s="11" t="inlineStr"/>
    </row>
    <row r="4" ht="55" customHeight="1">
      <c r="A4" s="12" t="inlineStr">
        <is>
          <t>TC-LOT-002</t>
        </is>
      </c>
      <c r="B4" s="12" t="inlineStr">
        <is>
          <t>Lot Management</t>
        </is>
      </c>
      <c r="C4" s="15" t="inlineStr">
        <is>
          <t>High</t>
        </is>
      </c>
      <c r="D4" s="12" t="inlineStr">
        <is>
          <t>Negative</t>
        </is>
      </c>
      <c r="E4" s="12" t="inlineStr">
        <is>
          <t>Duplicate lot number rejected</t>
        </is>
      </c>
      <c r="F4" s="12" t="inlineStr">
        <is>
          <t>Lot LOT-UAT-001 already exists</t>
        </is>
      </c>
      <c r="G4" s="12" t="inlineStr">
        <is>
          <t>1. Go to Lots → New Lot
2. Enter lot number: LOT-UAT-001
3. Fill other fields
4. Save</t>
        </is>
      </c>
      <c r="H4" s="12" t="inlineStr">
        <is>
          <t>Lot#: LOT-UAT-001 (duplicate)</t>
        </is>
      </c>
      <c r="I4" s="12" t="inlineStr">
        <is>
          <t>Error shown: 'Lot number already exists'; lot not created</t>
        </is>
      </c>
      <c r="J4" s="12" t="inlineStr"/>
      <c r="K4" s="12" t="inlineStr"/>
      <c r="L4" s="12" t="inlineStr"/>
    </row>
    <row r="5" ht="55" customHeight="1">
      <c r="A5" s="11" t="inlineStr">
        <is>
          <t>TC-LOT-003</t>
        </is>
      </c>
      <c r="B5" s="11" t="inlineStr">
        <is>
          <t>Lot Management</t>
        </is>
      </c>
      <c r="C5" s="15" t="inlineStr">
        <is>
          <t>High</t>
        </is>
      </c>
      <c r="D5" s="11" t="inlineStr">
        <is>
          <t>Positive</t>
        </is>
      </c>
      <c r="E5" s="11" t="inlineStr">
        <is>
          <t>View devices in lot</t>
        </is>
      </c>
      <c r="F5" s="11" t="inlineStr">
        <is>
          <t>Lot LOT-TEST-001 exists with devices</t>
        </is>
      </c>
      <c r="G5" s="11" t="inlineStr">
        <is>
          <t>1. Go to Lots list
2. Click on LOT-TEST-001
3. View device list</t>
        </is>
      </c>
      <c r="H5" s="11" t="inlineStr">
        <is>
          <t>LOT-TEST-001 (seeded data)</t>
        </is>
      </c>
      <c r="I5" s="11" t="inlineStr">
        <is>
          <t>Device list shows all devices in the lot with barcode, stage, grade, brand, model</t>
        </is>
      </c>
      <c r="J5" s="11" t="inlineStr"/>
      <c r="K5" s="11" t="inlineStr"/>
      <c r="L5" s="11" t="inlineStr"/>
    </row>
    <row r="6" ht="55" customHeight="1">
      <c r="A6" s="12" t="inlineStr">
        <is>
          <t>TC-LOT-004</t>
        </is>
      </c>
      <c r="B6" s="12" t="inlineStr">
        <is>
          <t>Lot Management</t>
        </is>
      </c>
      <c r="C6" s="12" t="inlineStr">
        <is>
          <t>Medium</t>
        </is>
      </c>
      <c r="D6" s="12" t="inlineStr">
        <is>
          <t>Positive</t>
        </is>
      </c>
      <c r="E6" s="12" t="inlineStr">
        <is>
          <t>Lot P&amp;L calculation</t>
        </is>
      </c>
      <c r="F6" s="12" t="inlineStr">
        <is>
          <t>Lot has sold devices and spare parts consumption</t>
        </is>
      </c>
      <c r="G6" s="12" t="inlineStr">
        <is>
          <t>1. Go to Dashboard
2. View Lot P&amp;L table</t>
        </is>
      </c>
      <c r="H6" s="12" t="inlineStr">
        <is>
          <t>Seeded lots with sales and parts consumption</t>
        </is>
      </c>
      <c r="I6" s="12" t="inlineStr">
        <is>
          <t>P&amp;L shows: Buying Price, Spare Parts Cost, Revenue, Gross Profit, Gross Margin % per lot</t>
        </is>
      </c>
      <c r="J6" s="12" t="inlineStr"/>
      <c r="K6" s="12" t="inlineStr"/>
      <c r="L6" s="12" t="inlineStr"/>
    </row>
  </sheetData>
  <autoFilter ref="A2:L2"/>
  <mergeCells count="1">
    <mergeCell ref="A1:L1"/>
  </mergeCells>
  <dataValidations count="1">
    <dataValidation sqref="K3 K4 K5 K6" showDropDown="0" showInputMessage="0" showErrorMessage="0" allowBlank="1" type="list">
      <formula1>"Pass,Fail,Blocked,Not Tested,N/A"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9"/>
  <sheetViews>
    <sheetView showGridLines="0" workbookViewId="0">
      <pane ySplit="2" topLeftCell="A3" activePane="bottomLeft" state="frozen"/>
      <selection pane="bottomLeft" activeCell="A1" sqref="A1"/>
    </sheetView>
  </sheetViews>
  <sheetFormatPr baseColWidth="8" defaultRowHeight="15"/>
  <cols>
    <col width="12" customWidth="1" min="1" max="1"/>
    <col width="18" customWidth="1" min="2" max="2"/>
    <col width="10" customWidth="1" min="3" max="3"/>
    <col width="14" customWidth="1" min="4" max="4"/>
    <col width="35" customWidth="1" min="5" max="5"/>
    <col width="30" customWidth="1" min="6" max="6"/>
    <col width="55" customWidth="1" min="7" max="7"/>
    <col width="35" customWidth="1" min="8" max="8"/>
    <col width="40" customWidth="1" min="9" max="9"/>
    <col width="30" customWidth="1" min="10" max="10"/>
    <col width="12" customWidth="1" min="11" max="11"/>
    <col width="22" customWidth="1" min="12" max="12"/>
  </cols>
  <sheetData>
    <row r="1" ht="32" customHeight="1">
      <c r="A1" s="44" t="inlineStr">
        <is>
          <t>OxyPC UAT — 03 — IQC</t>
        </is>
      </c>
    </row>
    <row r="2" ht="28" customHeight="1">
      <c r="A2" s="10" t="inlineStr">
        <is>
          <t>TC ID</t>
        </is>
      </c>
      <c r="B2" s="10" t="inlineStr">
        <is>
          <t>Module</t>
        </is>
      </c>
      <c r="C2" s="10" t="inlineStr">
        <is>
          <t>Priority</t>
        </is>
      </c>
      <c r="D2" s="10" t="inlineStr">
        <is>
          <t>Test Type</t>
        </is>
      </c>
      <c r="E2" s="10" t="inlineStr">
        <is>
          <t>Test Scenario</t>
        </is>
      </c>
      <c r="F2" s="10" t="inlineStr">
        <is>
          <t>Pre-Conditions</t>
        </is>
      </c>
      <c r="G2" s="10" t="inlineStr">
        <is>
          <t>Test Steps</t>
        </is>
      </c>
      <c r="H2" s="10" t="inlineStr">
        <is>
          <t>Test Data</t>
        </is>
      </c>
      <c r="I2" s="10" t="inlineStr">
        <is>
          <t>Expected Result</t>
        </is>
      </c>
      <c r="J2" s="10" t="inlineStr">
        <is>
          <t>Actual Result</t>
        </is>
      </c>
      <c r="K2" s="10" t="inlineStr">
        <is>
          <t>Pass / Fail</t>
        </is>
      </c>
      <c r="L2" s="10" t="inlineStr">
        <is>
          <t>Remarks</t>
        </is>
      </c>
    </row>
    <row r="3" ht="55" customHeight="1">
      <c r="A3" s="11" t="inlineStr">
        <is>
          <t>TC-IQC-001</t>
        </is>
      </c>
      <c r="B3" s="11" t="inlineStr">
        <is>
          <t>IQC</t>
        </is>
      </c>
      <c r="C3" s="14" t="inlineStr">
        <is>
          <t>Critical</t>
        </is>
      </c>
      <c r="D3" s="11" t="inlineStr">
        <is>
          <t>Positive</t>
        </is>
      </c>
      <c r="E3" s="11" t="inlineStr">
        <is>
          <t>Register new device with all fields</t>
        </is>
      </c>
      <c r="F3" s="11" t="inlineStr">
        <is>
          <t>IQC Inspector logged in; lot LOT-UAT-001 exists</t>
        </is>
      </c>
      <c r="G3" s="11" t="inlineStr">
        <is>
          <t>1. Go to IQC → Register Device
2. Fill all 23 fields
3. Submit</t>
        </is>
      </c>
      <c r="H3" s="11" t="inlineStr">
        <is>
          <t>Barcode: OXY-UAT-00001 | Lot: LOT-UAT-001 | Brand: HP | Model: EliteBook 840 G6 | CPU: Intel i5-8250U | RAM: 8 | SSD: 256 | Type: SSD | Battery: 78 | Grade: B | Floor: Floor 1</t>
        </is>
      </c>
      <c r="I3" s="11" t="inlineStr">
        <is>
          <t>Device registered; appears in IQC list; stage = IQC; all fields saved correctly</t>
        </is>
      </c>
      <c r="J3" s="11" t="inlineStr"/>
      <c r="K3" s="11" t="inlineStr"/>
      <c r="L3" s="11" t="inlineStr"/>
    </row>
    <row r="4" ht="55" customHeight="1">
      <c r="A4" s="12" t="inlineStr">
        <is>
          <t>TC-IQC-002</t>
        </is>
      </c>
      <c r="B4" s="12" t="inlineStr">
        <is>
          <t>IQC</t>
        </is>
      </c>
      <c r="C4" s="14" t="inlineStr">
        <is>
          <t>Critical</t>
        </is>
      </c>
      <c r="D4" s="12" t="inlineStr">
        <is>
          <t>Negative</t>
        </is>
      </c>
      <c r="E4" s="12" t="inlineStr">
        <is>
          <t>Duplicate barcode rejected</t>
        </is>
      </c>
      <c r="F4" s="12" t="inlineStr">
        <is>
          <t>Device OXY-UAT-00001 already registered</t>
        </is>
      </c>
      <c r="G4" s="12" t="inlineStr">
        <is>
          <t>1. Go to IQC → Register Device
2. Enter barcode: OXY-UAT-00001
3. Fill other fields
4. Submit</t>
        </is>
      </c>
      <c r="H4" s="12" t="inlineStr">
        <is>
          <t>Barcode: OXY-UAT-00001 (duplicate)</t>
        </is>
      </c>
      <c r="I4" s="12" t="inlineStr">
        <is>
          <t>Error shown: 'Barcode already exists'; device not created</t>
        </is>
      </c>
      <c r="J4" s="12" t="inlineStr"/>
      <c r="K4" s="12" t="inlineStr"/>
      <c r="L4" s="12" t="inlineStr"/>
    </row>
    <row r="5" ht="55" customHeight="1">
      <c r="A5" s="11" t="inlineStr">
        <is>
          <t>TC-IQC-003</t>
        </is>
      </c>
      <c r="B5" s="11" t="inlineStr">
        <is>
          <t>IQC</t>
        </is>
      </c>
      <c r="C5" s="15" t="inlineStr">
        <is>
          <t>High</t>
        </is>
      </c>
      <c r="D5" s="11" t="inlineStr">
        <is>
          <t>Positive</t>
        </is>
      </c>
      <c r="E5" s="11" t="inlineStr">
        <is>
          <t>Barcode scan auto-fills existing device</t>
        </is>
      </c>
      <c r="F5" s="11" t="inlineStr">
        <is>
          <t>Device OXY-TEST-00001 exists; IQC form open</t>
        </is>
      </c>
      <c r="G5" s="11" t="inlineStr">
        <is>
          <t>1. Scan barcode OXY-TEST-00001 into barcode field
2. Observe auto-fill</t>
        </is>
      </c>
      <c r="H5" s="11" t="inlineStr">
        <is>
          <t>Barcode: OXY-TEST-00001</t>
        </is>
      </c>
      <c r="I5" s="11" t="inlineStr">
        <is>
          <t>All known fields auto-populated: brand, model, RAM, storage, grade, lot</t>
        </is>
      </c>
      <c r="J5" s="11" t="inlineStr"/>
      <c r="K5" s="11" t="inlineStr"/>
      <c r="L5" s="11" t="inlineStr"/>
    </row>
    <row r="6" ht="55" customHeight="1">
      <c r="A6" s="12" t="inlineStr">
        <is>
          <t>TC-IQC-004</t>
        </is>
      </c>
      <c r="B6" s="12" t="inlineStr">
        <is>
          <t>IQC</t>
        </is>
      </c>
      <c r="C6" s="15" t="inlineStr">
        <is>
          <t>High</t>
        </is>
      </c>
      <c r="D6" s="12" t="inlineStr">
        <is>
          <t>Positive</t>
        </is>
      </c>
      <c r="E6" s="12" t="inlineStr">
        <is>
          <t>Register device with minimum required fields only</t>
        </is>
      </c>
      <c r="F6" s="12" t="inlineStr">
        <is>
          <t>IQC Inspector logged in; lot exists</t>
        </is>
      </c>
      <c r="G6" s="12" t="inlineStr">
        <is>
          <t>1. Go to IQC → Register Device
2. Enter only barcode and lot
3. Submit</t>
        </is>
      </c>
      <c r="H6" s="12" t="inlineStr">
        <is>
          <t>Barcode: OXY-UAT-00002 | Lot: LOT-UAT-001</t>
        </is>
      </c>
      <c r="I6" s="12" t="inlineStr">
        <is>
          <t>Device registered with barcode and lot; all optional fields null; stage = IQC</t>
        </is>
      </c>
      <c r="J6" s="12" t="inlineStr"/>
      <c r="K6" s="12" t="inlineStr"/>
      <c r="L6" s="12" t="inlineStr"/>
    </row>
    <row r="7" ht="55" customHeight="1">
      <c r="A7" s="11" t="inlineStr">
        <is>
          <t>TC-IQC-005</t>
        </is>
      </c>
      <c r="B7" s="11" t="inlineStr">
        <is>
          <t>IQC</t>
        </is>
      </c>
      <c r="C7" s="15" t="inlineStr">
        <is>
          <t>High</t>
        </is>
      </c>
      <c r="D7" s="11" t="inlineStr">
        <is>
          <t>Positive</t>
        </is>
      </c>
      <c r="E7" s="11" t="inlineStr">
        <is>
          <t>BIOS password flagged at IQC</t>
        </is>
      </c>
      <c r="F7" s="11" t="inlineStr">
        <is>
          <t>IQC Inspector logged in</t>
        </is>
      </c>
      <c r="G7" s="11" t="inlineStr">
        <is>
          <t>1. Register new device
2. Tick the 'BIOS Password' checkbox
3. Submit</t>
        </is>
      </c>
      <c r="H7" s="11" t="inlineStr">
        <is>
          <t>BIOS Password: Yes (ticked)</t>
        </is>
      </c>
      <c r="I7" s="11" t="inlineStr">
        <is>
          <t>Device record shows bios_password = True; flag visible in device detail</t>
        </is>
      </c>
      <c r="J7" s="11" t="inlineStr"/>
      <c r="K7" s="11" t="inlineStr"/>
      <c r="L7" s="11" t="inlineStr"/>
    </row>
    <row r="8" ht="55" customHeight="1">
      <c r="A8" s="12" t="inlineStr">
        <is>
          <t>TC-IQC-006</t>
        </is>
      </c>
      <c r="B8" s="12" t="inlineStr">
        <is>
          <t>IQC</t>
        </is>
      </c>
      <c r="C8" s="12" t="inlineStr">
        <is>
          <t>Medium</t>
        </is>
      </c>
      <c r="D8" s="12" t="inlineStr">
        <is>
          <t>Positive</t>
        </is>
      </c>
      <c r="E8" s="12" t="inlineStr">
        <is>
          <t>IQC list shows all pending devices</t>
        </is>
      </c>
      <c r="F8" s="12" t="inlineStr">
        <is>
          <t>Multiple devices in IQC stage exist</t>
        </is>
      </c>
      <c r="G8" s="12" t="inlineStr">
        <is>
          <t>1. Go to IQC module
2. View list</t>
        </is>
      </c>
      <c r="H8" s="12" t="inlineStr">
        <is>
          <t>Seeded data: 10 devices at IQC stage</t>
        </is>
      </c>
      <c r="I8" s="12" t="inlineStr">
        <is>
          <t>All IQC-stage devices listed; table sortable/searchable; device count shown</t>
        </is>
      </c>
      <c r="J8" s="12" t="inlineStr"/>
      <c r="K8" s="12" t="inlineStr"/>
      <c r="L8" s="12" t="inlineStr"/>
    </row>
    <row r="9" ht="55" customHeight="1">
      <c r="A9" s="11" t="inlineStr">
        <is>
          <t>TC-IQC-007</t>
        </is>
      </c>
      <c r="B9" s="11" t="inlineStr">
        <is>
          <t>IQC</t>
        </is>
      </c>
      <c r="C9" s="11" t="inlineStr">
        <is>
          <t>Medium</t>
        </is>
      </c>
      <c r="D9" s="11" t="inlineStr">
        <is>
          <t>Positive</t>
        </is>
      </c>
      <c r="E9" s="11" t="inlineStr">
        <is>
          <t>Grade 'Scrap' can be assigned at IQC</t>
        </is>
      </c>
      <c r="F9" s="11" t="inlineStr">
        <is>
          <t>IQC Inspector logged in</t>
        </is>
      </c>
      <c r="G9" s="11" t="inlineStr">
        <is>
          <t>1. Register new device
2. Select Grade = Scrap
3. Submit</t>
        </is>
      </c>
      <c r="H9" s="11" t="inlineStr">
        <is>
          <t>Grade: Scrap | Barcode: OXY-UAT-00003</t>
        </is>
      </c>
      <c r="I9" s="11" t="inlineStr">
        <is>
          <t>Device registered with grade = Scrap; shows in IQC list</t>
        </is>
      </c>
      <c r="J9" s="11" t="inlineStr"/>
      <c r="K9" s="11" t="inlineStr"/>
      <c r="L9" s="11" t="inlineStr"/>
    </row>
  </sheetData>
  <autoFilter ref="A2:L2"/>
  <mergeCells count="1">
    <mergeCell ref="A1:L1"/>
  </mergeCells>
  <dataValidations count="1">
    <dataValidation sqref="K3 K4 K5 K6 K7 K8 K9" showDropDown="0" showInputMessage="0" showErrorMessage="0" allowBlank="1" type="list">
      <formula1>"Pass,Fail,Blocked,Not Tested,N/A"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5"/>
  <sheetViews>
    <sheetView showGridLines="0" workbookViewId="0">
      <pane ySplit="2" topLeftCell="A3" activePane="bottomLeft" state="frozen"/>
      <selection pane="bottomLeft" activeCell="A1" sqref="A1"/>
    </sheetView>
  </sheetViews>
  <sheetFormatPr baseColWidth="8" defaultRowHeight="15"/>
  <cols>
    <col width="12" customWidth="1" min="1" max="1"/>
    <col width="18" customWidth="1" min="2" max="2"/>
    <col width="10" customWidth="1" min="3" max="3"/>
    <col width="14" customWidth="1" min="4" max="4"/>
    <col width="35" customWidth="1" min="5" max="5"/>
    <col width="30" customWidth="1" min="6" max="6"/>
    <col width="55" customWidth="1" min="7" max="7"/>
    <col width="35" customWidth="1" min="8" max="8"/>
    <col width="40" customWidth="1" min="9" max="9"/>
    <col width="30" customWidth="1" min="10" max="10"/>
    <col width="12" customWidth="1" min="11" max="11"/>
    <col width="22" customWidth="1" min="12" max="12"/>
  </cols>
  <sheetData>
    <row r="1" ht="32" customHeight="1">
      <c r="A1" s="44" t="inlineStr">
        <is>
          <t>OxyPC UAT — 04 — Stock In</t>
        </is>
      </c>
    </row>
    <row r="2" ht="28" customHeight="1">
      <c r="A2" s="10" t="inlineStr">
        <is>
          <t>TC ID</t>
        </is>
      </c>
      <c r="B2" s="10" t="inlineStr">
        <is>
          <t>Module</t>
        </is>
      </c>
      <c r="C2" s="10" t="inlineStr">
        <is>
          <t>Priority</t>
        </is>
      </c>
      <c r="D2" s="10" t="inlineStr">
        <is>
          <t>Test Type</t>
        </is>
      </c>
      <c r="E2" s="10" t="inlineStr">
        <is>
          <t>Test Scenario</t>
        </is>
      </c>
      <c r="F2" s="10" t="inlineStr">
        <is>
          <t>Pre-Conditions</t>
        </is>
      </c>
      <c r="G2" s="10" t="inlineStr">
        <is>
          <t>Test Steps</t>
        </is>
      </c>
      <c r="H2" s="10" t="inlineStr">
        <is>
          <t>Test Data</t>
        </is>
      </c>
      <c r="I2" s="10" t="inlineStr">
        <is>
          <t>Expected Result</t>
        </is>
      </c>
      <c r="J2" s="10" t="inlineStr">
        <is>
          <t>Actual Result</t>
        </is>
      </c>
      <c r="K2" s="10" t="inlineStr">
        <is>
          <t>Pass / Fail</t>
        </is>
      </c>
      <c r="L2" s="10" t="inlineStr">
        <is>
          <t>Remarks</t>
        </is>
      </c>
    </row>
    <row r="3" ht="55" customHeight="1">
      <c r="A3" s="11" t="inlineStr">
        <is>
          <t>TC-STOCK-001</t>
        </is>
      </c>
      <c r="B3" s="11" t="inlineStr">
        <is>
          <t>Stock In</t>
        </is>
      </c>
      <c r="C3" s="14" t="inlineStr">
        <is>
          <t>Critical</t>
        </is>
      </c>
      <c r="D3" s="11" t="inlineStr">
        <is>
          <t>Positive</t>
        </is>
      </c>
      <c r="E3" s="11" t="inlineStr">
        <is>
          <t>Move device from IQC to Stock In</t>
        </is>
      </c>
      <c r="F3" s="11" t="inlineStr">
        <is>
          <t>Device OXY-UAT-00001 in IQC stage; Inventory Manager logged in</t>
        </is>
      </c>
      <c r="G3" s="11" t="inlineStr">
        <is>
          <t>1. Go to Stock In module
2. Find or scan OXY-UAT-00001
3. Confirm location
4. Click Move to Stock</t>
        </is>
      </c>
      <c r="H3" s="11" t="inlineStr">
        <is>
          <t>Barcode: OXY-UAT-00001 | Floor: Floor 1</t>
        </is>
      </c>
      <c r="I3" s="11" t="inlineStr">
        <is>
          <t>Device stage updated to stock_in; stage movement recorded; device disappears from IQC list</t>
        </is>
      </c>
      <c r="J3" s="11" t="inlineStr"/>
      <c r="K3" s="11" t="inlineStr"/>
      <c r="L3" s="11" t="inlineStr"/>
    </row>
    <row r="4" ht="55" customHeight="1">
      <c r="A4" s="12" t="inlineStr">
        <is>
          <t>TC-STOCK-002</t>
        </is>
      </c>
      <c r="B4" s="12" t="inlineStr">
        <is>
          <t>Stock In</t>
        </is>
      </c>
      <c r="C4" s="15" t="inlineStr">
        <is>
          <t>High</t>
        </is>
      </c>
      <c r="D4" s="12" t="inlineStr">
        <is>
          <t>Positive</t>
        </is>
      </c>
      <c r="E4" s="12" t="inlineStr">
        <is>
          <t>Stock In list shows only stock-in devices</t>
        </is>
      </c>
      <c r="F4" s="12" t="inlineStr">
        <is>
          <t>Devices in stock_in stage exist</t>
        </is>
      </c>
      <c r="G4" s="12" t="inlineStr">
        <is>
          <t>1. Go to Stock In module
2. View list</t>
        </is>
      </c>
      <c r="H4" s="12" t="inlineStr">
        <is>
          <t>Seeded data: 10 devices at stock_in</t>
        </is>
      </c>
      <c r="I4" s="12" t="inlineStr">
        <is>
          <t>Only stock_in stage devices shown; correct device count</t>
        </is>
      </c>
      <c r="J4" s="12" t="inlineStr"/>
      <c r="K4" s="12" t="inlineStr"/>
      <c r="L4" s="12" t="inlineStr"/>
    </row>
    <row r="5" ht="55" customHeight="1">
      <c r="A5" s="11" t="inlineStr">
        <is>
          <t>TC-STOCK-003</t>
        </is>
      </c>
      <c r="B5" s="11" t="inlineStr">
        <is>
          <t>Stock In</t>
        </is>
      </c>
      <c r="C5" s="11" t="inlineStr">
        <is>
          <t>Medium</t>
        </is>
      </c>
      <c r="D5" s="11" t="inlineStr">
        <is>
          <t>Negative</t>
        </is>
      </c>
      <c r="E5" s="11" t="inlineStr">
        <is>
          <t>Cannot move already-stocked device to stock again</t>
        </is>
      </c>
      <c r="F5" s="11" t="inlineStr">
        <is>
          <t>Device is already at stock_in stage</t>
        </is>
      </c>
      <c r="G5" s="11" t="inlineStr">
        <is>
          <t>1. Attempt to move a stock_in device to stock_in again</t>
        </is>
      </c>
      <c r="H5" s="11" t="inlineStr">
        <is>
          <t>Device already in stock_in</t>
        </is>
      </c>
      <c r="I5" s="11" t="inlineStr">
        <is>
          <t>System prevents duplicate stage change; error or device absent from IQC list</t>
        </is>
      </c>
      <c r="J5" s="11" t="inlineStr"/>
      <c r="K5" s="11" t="inlineStr"/>
      <c r="L5" s="11" t="inlineStr"/>
    </row>
  </sheetData>
  <autoFilter ref="A2:L2"/>
  <mergeCells count="1">
    <mergeCell ref="A1:L1"/>
  </mergeCells>
  <dataValidations count="1">
    <dataValidation sqref="K3 K4 K5" showDropDown="0" showInputMessage="0" showErrorMessage="0" allowBlank="1" type="list">
      <formula1>"Pass,Fail,Blocked,Not Tested,N/A"</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9"/>
  <sheetViews>
    <sheetView showGridLines="0" workbookViewId="0">
      <pane ySplit="2" topLeftCell="A3" activePane="bottomLeft" state="frozen"/>
      <selection pane="bottomLeft" activeCell="A1" sqref="A1"/>
    </sheetView>
  </sheetViews>
  <sheetFormatPr baseColWidth="8" defaultRowHeight="15"/>
  <cols>
    <col width="12" customWidth="1" min="1" max="1"/>
    <col width="18" customWidth="1" min="2" max="2"/>
    <col width="10" customWidth="1" min="3" max="3"/>
    <col width="14" customWidth="1" min="4" max="4"/>
    <col width="35" customWidth="1" min="5" max="5"/>
    <col width="30" customWidth="1" min="6" max="6"/>
    <col width="55" customWidth="1" min="7" max="7"/>
    <col width="35" customWidth="1" min="8" max="8"/>
    <col width="40" customWidth="1" min="9" max="9"/>
    <col width="30" customWidth="1" min="10" max="10"/>
    <col width="12" customWidth="1" min="11" max="11"/>
    <col width="22" customWidth="1" min="12" max="12"/>
  </cols>
  <sheetData>
    <row r="1" ht="32" customHeight="1">
      <c r="A1" s="44" t="inlineStr">
        <is>
          <t>OxyPC UAT — 05 — Repair</t>
        </is>
      </c>
    </row>
    <row r="2" ht="28" customHeight="1">
      <c r="A2" s="10" t="inlineStr">
        <is>
          <t>TC ID</t>
        </is>
      </c>
      <c r="B2" s="10" t="inlineStr">
        <is>
          <t>Module</t>
        </is>
      </c>
      <c r="C2" s="10" t="inlineStr">
        <is>
          <t>Priority</t>
        </is>
      </c>
      <c r="D2" s="10" t="inlineStr">
        <is>
          <t>Test Type</t>
        </is>
      </c>
      <c r="E2" s="10" t="inlineStr">
        <is>
          <t>Test Scenario</t>
        </is>
      </c>
      <c r="F2" s="10" t="inlineStr">
        <is>
          <t>Pre-Conditions</t>
        </is>
      </c>
      <c r="G2" s="10" t="inlineStr">
        <is>
          <t>Test Steps</t>
        </is>
      </c>
      <c r="H2" s="10" t="inlineStr">
        <is>
          <t>Test Data</t>
        </is>
      </c>
      <c r="I2" s="10" t="inlineStr">
        <is>
          <t>Expected Result</t>
        </is>
      </c>
      <c r="J2" s="10" t="inlineStr">
        <is>
          <t>Actual Result</t>
        </is>
      </c>
      <c r="K2" s="10" t="inlineStr">
        <is>
          <t>Pass / Fail</t>
        </is>
      </c>
      <c r="L2" s="10" t="inlineStr">
        <is>
          <t>Remarks</t>
        </is>
      </c>
    </row>
    <row r="3" ht="55" customHeight="1">
      <c r="A3" s="11" t="inlineStr">
        <is>
          <t>TC-L1-001</t>
        </is>
      </c>
      <c r="B3" s="11" t="inlineStr">
        <is>
          <t>L1 Repair</t>
        </is>
      </c>
      <c r="C3" s="14" t="inlineStr">
        <is>
          <t>Critical</t>
        </is>
      </c>
      <c r="D3" s="11" t="inlineStr">
        <is>
          <t>Positive</t>
        </is>
      </c>
      <c r="E3" s="11" t="inlineStr">
        <is>
          <t>Start L1 repair job</t>
        </is>
      </c>
      <c r="F3" s="11" t="inlineStr">
        <is>
          <t>Device in stock_in or l1 stage; L1 Engineer logged in</t>
        </is>
      </c>
      <c r="G3" s="11" t="inlineStr">
        <is>
          <t>1. Go to L1 Repair
2. Scan device barcode
3. Enter issue description
4. Click Start Repair</t>
        </is>
      </c>
      <c r="H3" s="11" t="inlineStr">
        <is>
          <t>Barcode: OXY-TEST-00021 | Issue: RAM upgrade required</t>
        </is>
      </c>
      <c r="I3" s="11" t="inlineStr">
        <is>
          <t>Repair job created with status=in_progress; device stage = l1; appears in L1 list</t>
        </is>
      </c>
      <c r="J3" s="11" t="inlineStr"/>
      <c r="K3" s="11" t="inlineStr"/>
      <c r="L3" s="11" t="inlineStr"/>
    </row>
    <row r="4" ht="55" customHeight="1">
      <c r="A4" s="12" t="inlineStr">
        <is>
          <t>TC-L1-002</t>
        </is>
      </c>
      <c r="B4" s="12" t="inlineStr">
        <is>
          <t>L1 Repair</t>
        </is>
      </c>
      <c r="C4" s="14" t="inlineStr">
        <is>
          <t>Critical</t>
        </is>
      </c>
      <c r="D4" s="12" t="inlineStr">
        <is>
          <t>Positive</t>
        </is>
      </c>
      <c r="E4" s="12" t="inlineStr">
        <is>
          <t>Complete L1 repair and advance to QC</t>
        </is>
      </c>
      <c r="F4" s="12" t="inlineStr">
        <is>
          <t>Device has open L1 repair job</t>
        </is>
      </c>
      <c r="G4" s="12" t="inlineStr">
        <is>
          <t>1. Go to L1 Repair → Active Jobs
2. Click Complete on job
3. Enter resolution
4. Tick 'Move to next stage'
5. Submit</t>
        </is>
      </c>
      <c r="H4" s="12" t="inlineStr">
        <is>
          <t>Resolution: Upgraded RAM from 4GB to 8GB | Move to next: Yes</t>
        </is>
      </c>
      <c r="I4" s="12" t="inlineStr">
        <is>
          <t>Repair marked complete; device stage moves to qc_check; stage movement logged</t>
        </is>
      </c>
      <c r="J4" s="12" t="inlineStr"/>
      <c r="K4" s="12" t="inlineStr"/>
      <c r="L4" s="12" t="inlineStr"/>
    </row>
    <row r="5" ht="55" customHeight="1">
      <c r="A5" s="11" t="inlineStr">
        <is>
          <t>TC-L1-003</t>
        </is>
      </c>
      <c r="B5" s="11" t="inlineStr">
        <is>
          <t>L1 Repair</t>
        </is>
      </c>
      <c r="C5" s="15" t="inlineStr">
        <is>
          <t>High</t>
        </is>
      </c>
      <c r="D5" s="11" t="inlineStr">
        <is>
          <t>Positive</t>
        </is>
      </c>
      <c r="E5" s="11" t="inlineStr">
        <is>
          <t>Complete repair WITHOUT advancing stage</t>
        </is>
      </c>
      <c r="F5" s="11" t="inlineStr">
        <is>
          <t>Device has open L1 repair job</t>
        </is>
      </c>
      <c r="G5" s="11" t="inlineStr">
        <is>
          <t>1. Complete L1 repair job
2. Leave 'Move to next stage' UNCHECKED
3. Submit</t>
        </is>
      </c>
      <c r="H5" s="11" t="inlineStr">
        <is>
          <t>Move to next: No (unchecked)</t>
        </is>
      </c>
      <c r="I5" s="11" t="inlineStr">
        <is>
          <t>Repair marked complete; device STAYS at l1 stage; no stage movement to qc_check</t>
        </is>
      </c>
      <c r="J5" s="11" t="inlineStr"/>
      <c r="K5" s="11" t="inlineStr"/>
      <c r="L5" s="11" t="inlineStr"/>
    </row>
    <row r="6" ht="55" customHeight="1">
      <c r="A6" s="12" t="inlineStr">
        <is>
          <t>TC-L1-004</t>
        </is>
      </c>
      <c r="B6" s="12" t="inlineStr">
        <is>
          <t>L1 Repair</t>
        </is>
      </c>
      <c r="C6" s="15" t="inlineStr">
        <is>
          <t>High</t>
        </is>
      </c>
      <c r="D6" s="12" t="inlineStr">
        <is>
          <t>Positive</t>
        </is>
      </c>
      <c r="E6" s="12" t="inlineStr">
        <is>
          <t>Log spare part consumption in L1</t>
        </is>
      </c>
      <c r="F6" s="12" t="inlineStr">
        <is>
          <t>L1 Engineer logged in; spare part exists in stock</t>
        </is>
      </c>
      <c r="G6" s="12" t="inlineStr">
        <is>
          <t>1. On device detail or repair form
2. Log consumption: part=RAM DDR4 8GB, qty=1</t>
        </is>
      </c>
      <c r="H6" s="12" t="inlineStr">
        <is>
          <t>Part: RAM DDR4 8GB | Qty: 1 | Stage: L1</t>
        </is>
      </c>
      <c r="I6" s="12" t="inlineStr">
        <is>
          <t>Consumption record created; spare part stock decremented by 1; cost linked to device</t>
        </is>
      </c>
      <c r="J6" s="12" t="inlineStr"/>
      <c r="K6" s="12" t="inlineStr"/>
      <c r="L6" s="12" t="inlineStr"/>
    </row>
    <row r="7" ht="55" customHeight="1">
      <c r="A7" s="11" t="inlineStr">
        <is>
          <t>TC-L2-001</t>
        </is>
      </c>
      <c r="B7" s="11" t="inlineStr">
        <is>
          <t>L2 Repair</t>
        </is>
      </c>
      <c r="C7" s="14" t="inlineStr">
        <is>
          <t>Critical</t>
        </is>
      </c>
      <c r="D7" s="11" t="inlineStr">
        <is>
          <t>Positive</t>
        </is>
      </c>
      <c r="E7" s="11" t="inlineStr">
        <is>
          <t>Start and complete L2 repair job</t>
        </is>
      </c>
      <c r="F7" s="11" t="inlineStr">
        <is>
          <t>Device in l2 stage; L2 Engineer logged in</t>
        </is>
      </c>
      <c r="G7" s="11" t="inlineStr">
        <is>
          <t>1. Go to L2 Repair
2. Start job for device in l2 queue
3. Enter issue + resolution
4. Complete and advance</t>
        </is>
      </c>
      <c r="H7" s="11" t="inlineStr">
        <is>
          <t>Issue: Screen crack | Resolution: Replaced 14-inch panel | Advance: Yes</t>
        </is>
      </c>
      <c r="I7" s="11" t="inlineStr">
        <is>
          <t>L2 job completed; device advances to qc_check; stage movement logged</t>
        </is>
      </c>
      <c r="J7" s="11" t="inlineStr"/>
      <c r="K7" s="11" t="inlineStr"/>
      <c r="L7" s="11" t="inlineStr"/>
    </row>
    <row r="8" ht="55" customHeight="1">
      <c r="A8" s="12" t="inlineStr">
        <is>
          <t>TC-L2-002</t>
        </is>
      </c>
      <c r="B8" s="12" t="inlineStr">
        <is>
          <t>L2 Repair</t>
        </is>
      </c>
      <c r="C8" s="15" t="inlineStr">
        <is>
          <t>High</t>
        </is>
      </c>
      <c r="D8" s="12" t="inlineStr">
        <is>
          <t>Positive</t>
        </is>
      </c>
      <c r="E8" s="12" t="inlineStr">
        <is>
          <t>L2 engineer can log spare parts</t>
        </is>
      </c>
      <c r="F8" s="12" t="inlineStr">
        <is>
          <t>L2 Engineer logged in; screen panel in stock</t>
        </is>
      </c>
      <c r="G8" s="12" t="inlineStr">
        <is>
          <t>1. Log consumption of 14-inch FHD panel for l2 device</t>
        </is>
      </c>
      <c r="H8" s="12" t="inlineStr">
        <is>
          <t>Part: 14-inch FHD IPS Panel | Qty: 1</t>
        </is>
      </c>
      <c r="I8" s="12" t="inlineStr">
        <is>
          <t>Consumption logged; stock decremented; cost linked to device</t>
        </is>
      </c>
      <c r="J8" s="12" t="inlineStr"/>
      <c r="K8" s="12" t="inlineStr"/>
      <c r="L8" s="12" t="inlineStr"/>
    </row>
    <row r="9" ht="55" customHeight="1">
      <c r="A9" s="11" t="inlineStr">
        <is>
          <t>TC-L3-001</t>
        </is>
      </c>
      <c r="B9" s="11" t="inlineStr">
        <is>
          <t>L3 Repair</t>
        </is>
      </c>
      <c r="C9" s="15" t="inlineStr">
        <is>
          <t>High</t>
        </is>
      </c>
      <c r="D9" s="11" t="inlineStr">
        <is>
          <t>Positive</t>
        </is>
      </c>
      <c r="E9" s="11" t="inlineStr">
        <is>
          <t>Start and complete L3 repair</t>
        </is>
      </c>
      <c r="F9" s="11" t="inlineStr">
        <is>
          <t>Device in l3 stage; L3 Engineer logged in</t>
        </is>
      </c>
      <c r="G9" s="11" t="inlineStr">
        <is>
          <t>1. Start L3 job
2. Complete with resolution
3. Advance to QC</t>
        </is>
      </c>
      <c r="H9" s="11" t="inlineStr">
        <is>
          <t>Issue: No POST | Resolution: Reflowed southbridge chip</t>
        </is>
      </c>
      <c r="I9" s="11" t="inlineStr">
        <is>
          <t>L3 job completed; device to qc_check</t>
        </is>
      </c>
      <c r="J9" s="11" t="inlineStr"/>
      <c r="K9" s="11" t="inlineStr"/>
      <c r="L9" s="11" t="inlineStr"/>
    </row>
  </sheetData>
  <autoFilter ref="A2:L2"/>
  <mergeCells count="1">
    <mergeCell ref="A1:L1"/>
  </mergeCells>
  <dataValidations count="1">
    <dataValidation sqref="K3 K4 K5 K6 K7 K8 K9" showDropDown="0" showInputMessage="0" showErrorMessage="0" allowBlank="1" type="list">
      <formula1>"Pass,Fail,Blocked,Not Tested,N/A"</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7"/>
  <sheetViews>
    <sheetView showGridLines="0" workbookViewId="0">
      <pane ySplit="2" topLeftCell="A3" activePane="bottomLeft" state="frozen"/>
      <selection pane="bottomLeft" activeCell="A1" sqref="A1"/>
    </sheetView>
  </sheetViews>
  <sheetFormatPr baseColWidth="8" defaultRowHeight="15"/>
  <cols>
    <col width="12" customWidth="1" min="1" max="1"/>
    <col width="18" customWidth="1" min="2" max="2"/>
    <col width="10" customWidth="1" min="3" max="3"/>
    <col width="14" customWidth="1" min="4" max="4"/>
    <col width="35" customWidth="1" min="5" max="5"/>
    <col width="30" customWidth="1" min="6" max="6"/>
    <col width="55" customWidth="1" min="7" max="7"/>
    <col width="35" customWidth="1" min="8" max="8"/>
    <col width="40" customWidth="1" min="9" max="9"/>
    <col width="30" customWidth="1" min="10" max="10"/>
    <col width="12" customWidth="1" min="11" max="11"/>
    <col width="22" customWidth="1" min="12" max="12"/>
  </cols>
  <sheetData>
    <row r="1" ht="32" customHeight="1">
      <c r="A1" s="44" t="inlineStr">
        <is>
          <t>OxyPC UAT — 06 — QC Check</t>
        </is>
      </c>
    </row>
    <row r="2" ht="28" customHeight="1">
      <c r="A2" s="10" t="inlineStr">
        <is>
          <t>TC ID</t>
        </is>
      </c>
      <c r="B2" s="10" t="inlineStr">
        <is>
          <t>Module</t>
        </is>
      </c>
      <c r="C2" s="10" t="inlineStr">
        <is>
          <t>Priority</t>
        </is>
      </c>
      <c r="D2" s="10" t="inlineStr">
        <is>
          <t>Test Type</t>
        </is>
      </c>
      <c r="E2" s="10" t="inlineStr">
        <is>
          <t>Test Scenario</t>
        </is>
      </c>
      <c r="F2" s="10" t="inlineStr">
        <is>
          <t>Pre-Conditions</t>
        </is>
      </c>
      <c r="G2" s="10" t="inlineStr">
        <is>
          <t>Test Steps</t>
        </is>
      </c>
      <c r="H2" s="10" t="inlineStr">
        <is>
          <t>Test Data</t>
        </is>
      </c>
      <c r="I2" s="10" t="inlineStr">
        <is>
          <t>Expected Result</t>
        </is>
      </c>
      <c r="J2" s="10" t="inlineStr">
        <is>
          <t>Actual Result</t>
        </is>
      </c>
      <c r="K2" s="10" t="inlineStr">
        <is>
          <t>Pass / Fail</t>
        </is>
      </c>
      <c r="L2" s="10" t="inlineStr">
        <is>
          <t>Remarks</t>
        </is>
      </c>
    </row>
    <row r="3" ht="55" customHeight="1">
      <c r="A3" s="11" t="inlineStr">
        <is>
          <t>TC-QC-001</t>
        </is>
      </c>
      <c r="B3" s="11" t="inlineStr">
        <is>
          <t>QC Check</t>
        </is>
      </c>
      <c r="C3" s="14" t="inlineStr">
        <is>
          <t>Critical</t>
        </is>
      </c>
      <c r="D3" s="11" t="inlineStr">
        <is>
          <t>Positive</t>
        </is>
      </c>
      <c r="E3" s="11" t="inlineStr">
        <is>
          <t>QC Pass — device moves to Ready to Sale</t>
        </is>
      </c>
      <c r="F3" s="11" t="inlineStr">
        <is>
          <t>Device in qc_check stage; QC Inspector logged in</t>
        </is>
      </c>
      <c r="G3" s="11" t="inlineStr">
        <is>
          <t>1. Go to QC Check list
2. Click QC on device OXY-TEST-00041
3. Select Result: Pass
4. Set Grade: B
5. Submit</t>
        </is>
      </c>
      <c r="H3" s="11" t="inlineStr">
        <is>
          <t>Barcode: OXY-TEST-00041 | Result: Pass | Grade: B</t>
        </is>
      </c>
      <c r="I3" s="11" t="inlineStr">
        <is>
          <t>QC check record created; device stage = ready_to_sale; device appears in Sales list</t>
        </is>
      </c>
      <c r="J3" s="11" t="inlineStr"/>
      <c r="K3" s="11" t="inlineStr"/>
      <c r="L3" s="11" t="inlineStr"/>
    </row>
    <row r="4" ht="55" customHeight="1">
      <c r="A4" s="12" t="inlineStr">
        <is>
          <t>TC-QC-002</t>
        </is>
      </c>
      <c r="B4" s="12" t="inlineStr">
        <is>
          <t>QC Check</t>
        </is>
      </c>
      <c r="C4" s="14" t="inlineStr">
        <is>
          <t>Critical</t>
        </is>
      </c>
      <c r="D4" s="12" t="inlineStr">
        <is>
          <t>Positive</t>
        </is>
      </c>
      <c r="E4" s="12" t="inlineStr">
        <is>
          <t>QC Fail — device returned to repair</t>
        </is>
      </c>
      <c r="F4" s="12" t="inlineStr">
        <is>
          <t>Device in qc_check stage; QC Inspector logged in</t>
        </is>
      </c>
      <c r="G4" s="12" t="inlineStr">
        <is>
          <t>1. Go to QC Check
2. Select Result: Fail
3. Enter issues found
4. Submit</t>
        </is>
      </c>
      <c r="H4" s="12" t="inlineStr">
        <is>
          <t>Result: Fail | Issues: Keyboard keys not responding</t>
        </is>
      </c>
      <c r="I4" s="12" t="inlineStr">
        <is>
          <t>QC fail recorded; device stage stays at qc_check or moves back to l1/l2 queue</t>
        </is>
      </c>
      <c r="J4" s="12" t="inlineStr"/>
      <c r="K4" s="12" t="inlineStr"/>
      <c r="L4" s="12" t="inlineStr"/>
    </row>
    <row r="5" ht="55" customHeight="1">
      <c r="A5" s="11" t="inlineStr">
        <is>
          <t>TC-QC-003</t>
        </is>
      </c>
      <c r="B5" s="11" t="inlineStr">
        <is>
          <t>QC Check</t>
        </is>
      </c>
      <c r="C5" s="14" t="inlineStr">
        <is>
          <t>Critical</t>
        </is>
      </c>
      <c r="D5" s="11" t="inlineStr">
        <is>
          <t>Positive</t>
        </is>
      </c>
      <c r="E5" s="11" t="inlineStr">
        <is>
          <t>QC Scrap — device marked as scrapped</t>
        </is>
      </c>
      <c r="F5" s="11" t="inlineStr">
        <is>
          <t>Device in qc_check stage</t>
        </is>
      </c>
      <c r="G5" s="11" t="inlineStr">
        <is>
          <t>1. Go to QC Check
2. Select Grade: Scrap
3. Result: Fail
4. Submit</t>
        </is>
      </c>
      <c r="H5" s="11" t="inlineStr">
        <is>
          <t>Grade: Scrap | Result: Fail</t>
        </is>
      </c>
      <c r="I5" s="11" t="inlineStr">
        <is>
          <t>Device stage = scrapped; device removed from active pipeline; scrap record saved</t>
        </is>
      </c>
      <c r="J5" s="11" t="inlineStr"/>
      <c r="K5" s="11" t="inlineStr"/>
      <c r="L5" s="11" t="inlineStr"/>
    </row>
    <row r="6" ht="55" customHeight="1">
      <c r="A6" s="12" t="inlineStr">
        <is>
          <t>TC-QC-004</t>
        </is>
      </c>
      <c r="B6" s="12" t="inlineStr">
        <is>
          <t>QC Check</t>
        </is>
      </c>
      <c r="C6" s="15" t="inlineStr">
        <is>
          <t>High</t>
        </is>
      </c>
      <c r="D6" s="12" t="inlineStr">
        <is>
          <t>Positive</t>
        </is>
      </c>
      <c r="E6" s="12" t="inlineStr">
        <is>
          <t>Send QC-passed device to Cosmetic Pipeline</t>
        </is>
      </c>
      <c r="F6" s="12" t="inlineStr">
        <is>
          <t>Device in qc_check stage</t>
        </is>
      </c>
      <c r="G6" s="12" t="inlineStr">
        <is>
          <t>1. In QC list, click 'Cosmetic' button for device
2. Confirm</t>
        </is>
      </c>
      <c r="H6" s="12" t="inlineStr">
        <is>
          <t>Barcode: OXY-TEST-00042</t>
        </is>
      </c>
      <c r="I6" s="12" t="inlineStr">
        <is>
          <t>Device stage = cleaning; appears in Cosmetic Pipeline → Cleaning list</t>
        </is>
      </c>
      <c r="J6" s="12" t="inlineStr"/>
      <c r="K6" s="12" t="inlineStr"/>
      <c r="L6" s="12" t="inlineStr"/>
    </row>
    <row r="7" ht="55" customHeight="1">
      <c r="A7" s="11" t="inlineStr">
        <is>
          <t>TC-QC-005</t>
        </is>
      </c>
      <c r="B7" s="11" t="inlineStr">
        <is>
          <t>QC Check</t>
        </is>
      </c>
      <c r="C7" s="11" t="inlineStr">
        <is>
          <t>Medium</t>
        </is>
      </c>
      <c r="D7" s="11" t="inlineStr">
        <is>
          <t>Positive</t>
        </is>
      </c>
      <c r="E7" s="11" t="inlineStr">
        <is>
          <t>QC list shows CPU and grade columns</t>
        </is>
      </c>
      <c r="F7" s="11" t="inlineStr">
        <is>
          <t>Devices in qc_check stage</t>
        </is>
      </c>
      <c r="G7" s="11" t="inlineStr">
        <is>
          <t>1. Go to QC Check list
2. Observe columns</t>
        </is>
      </c>
      <c r="H7" s="11" t="inlineStr">
        <is>
          <t>Seeded data</t>
        </is>
      </c>
      <c r="I7" s="11" t="inlineStr">
        <is>
          <t>Table shows: Barcode, Lot, Brand, Model, CPU, RAM, Storage, Grade, Actions (QC + Cosmetic buttons)</t>
        </is>
      </c>
      <c r="J7" s="11" t="inlineStr"/>
      <c r="K7" s="11" t="inlineStr"/>
      <c r="L7" s="11" t="inlineStr"/>
    </row>
  </sheetData>
  <autoFilter ref="A2:L2"/>
  <mergeCells count="1">
    <mergeCell ref="A1:L1"/>
  </mergeCells>
  <dataValidations count="1">
    <dataValidation sqref="K3 K4 K5 K6 K7" showDropDown="0" showInputMessage="0" showErrorMessage="0" allowBlank="1" type="list">
      <formula1>"Pass,Fail,Blocked,Not Tested,N/A"</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7"/>
  <sheetViews>
    <sheetView showGridLines="0" workbookViewId="0">
      <pane ySplit="2" topLeftCell="A3" activePane="bottomLeft" state="frozen"/>
      <selection pane="bottomLeft" activeCell="A1" sqref="A1"/>
    </sheetView>
  </sheetViews>
  <sheetFormatPr baseColWidth="8" defaultRowHeight="15"/>
  <cols>
    <col width="12" customWidth="1" min="1" max="1"/>
    <col width="18" customWidth="1" min="2" max="2"/>
    <col width="10" customWidth="1" min="3" max="3"/>
    <col width="14" customWidth="1" min="4" max="4"/>
    <col width="35" customWidth="1" min="5" max="5"/>
    <col width="30" customWidth="1" min="6" max="6"/>
    <col width="55" customWidth="1" min="7" max="7"/>
    <col width="35" customWidth="1" min="8" max="8"/>
    <col width="40" customWidth="1" min="9" max="9"/>
    <col width="30" customWidth="1" min="10" max="10"/>
    <col width="12" customWidth="1" min="11" max="11"/>
    <col width="22" customWidth="1" min="12" max="12"/>
  </cols>
  <sheetData>
    <row r="1" ht="32" customHeight="1">
      <c r="A1" s="44" t="inlineStr">
        <is>
          <t>OxyPC UAT — 07 — Cosmetic</t>
        </is>
      </c>
    </row>
    <row r="2" ht="28" customHeight="1">
      <c r="A2" s="10" t="inlineStr">
        <is>
          <t>TC ID</t>
        </is>
      </c>
      <c r="B2" s="10" t="inlineStr">
        <is>
          <t>Module</t>
        </is>
      </c>
      <c r="C2" s="10" t="inlineStr">
        <is>
          <t>Priority</t>
        </is>
      </c>
      <c r="D2" s="10" t="inlineStr">
        <is>
          <t>Test Type</t>
        </is>
      </c>
      <c r="E2" s="10" t="inlineStr">
        <is>
          <t>Test Scenario</t>
        </is>
      </c>
      <c r="F2" s="10" t="inlineStr">
        <is>
          <t>Pre-Conditions</t>
        </is>
      </c>
      <c r="G2" s="10" t="inlineStr">
        <is>
          <t>Test Steps</t>
        </is>
      </c>
      <c r="H2" s="10" t="inlineStr">
        <is>
          <t>Test Data</t>
        </is>
      </c>
      <c r="I2" s="10" t="inlineStr">
        <is>
          <t>Expected Result</t>
        </is>
      </c>
      <c r="J2" s="10" t="inlineStr">
        <is>
          <t>Actual Result</t>
        </is>
      </c>
      <c r="K2" s="10" t="inlineStr">
        <is>
          <t>Pass / Fail</t>
        </is>
      </c>
      <c r="L2" s="10" t="inlineStr">
        <is>
          <t>Remarks</t>
        </is>
      </c>
    </row>
    <row r="3" ht="55" customHeight="1">
      <c r="A3" s="11" t="inlineStr">
        <is>
          <t>TC-COS-001</t>
        </is>
      </c>
      <c r="B3" s="11" t="inlineStr">
        <is>
          <t>Cosmetic Pipeline</t>
        </is>
      </c>
      <c r="C3" s="14" t="inlineStr">
        <is>
          <t>Critical</t>
        </is>
      </c>
      <c r="D3" s="11" t="inlineStr">
        <is>
          <t>Positive</t>
        </is>
      </c>
      <c r="E3" s="11" t="inlineStr">
        <is>
          <t>Cosmetic dashboard shows all 6 stages</t>
        </is>
      </c>
      <c r="F3" s="11" t="inlineStr">
        <is>
          <t>Devices exist in various cosmetic stages</t>
        </is>
      </c>
      <c r="G3" s="11" t="inlineStr">
        <is>
          <t>1. Go to Cosmetic → Pipeline Dashboard
2. Observe all stage cards</t>
        </is>
      </c>
      <c r="H3" s="11" t="inlineStr">
        <is>
          <t>Seeded cosmetic devices</t>
        </is>
      </c>
      <c r="I3" s="11" t="inlineStr">
        <is>
          <t>Dashboard shows 6 stage cards: Cleaning, Dry Sanding, Masking, Painting, Water Sanding, Final QC with device counts</t>
        </is>
      </c>
      <c r="J3" s="11" t="inlineStr"/>
      <c r="K3" s="11" t="inlineStr"/>
      <c r="L3" s="11" t="inlineStr"/>
    </row>
    <row r="4" ht="55" customHeight="1">
      <c r="A4" s="12" t="inlineStr">
        <is>
          <t>TC-COS-002</t>
        </is>
      </c>
      <c r="B4" s="12" t="inlineStr">
        <is>
          <t>Cosmetic Pipeline</t>
        </is>
      </c>
      <c r="C4" s="14" t="inlineStr">
        <is>
          <t>Critical</t>
        </is>
      </c>
      <c r="D4" s="12" t="inlineStr">
        <is>
          <t>Positive</t>
        </is>
      </c>
      <c r="E4" s="12" t="inlineStr">
        <is>
          <t>Advance device: Cleaning → Dry Sanding</t>
        </is>
      </c>
      <c r="F4" s="12" t="inlineStr">
        <is>
          <t>Device in cleaning stage; QC Inspector or Inv. Manager logged in</t>
        </is>
      </c>
      <c r="G4" s="12" t="inlineStr">
        <is>
          <t>1. Go to Cosmetic → Cleaning
2. Scan device barcode in advance form
3. Click Advance</t>
        </is>
      </c>
      <c r="H4" s="12" t="inlineStr">
        <is>
          <t>Barcode: OXY-UAT-00001</t>
        </is>
      </c>
      <c r="I4" s="12" t="inlineStr">
        <is>
          <t>Device stage = dry_sanding; stage movement logged; device removed from Cleaning list</t>
        </is>
      </c>
      <c r="J4" s="12" t="inlineStr"/>
      <c r="K4" s="12" t="inlineStr"/>
      <c r="L4" s="12" t="inlineStr"/>
    </row>
    <row r="5" ht="55" customHeight="1">
      <c r="A5" s="11" t="inlineStr">
        <is>
          <t>TC-COS-003</t>
        </is>
      </c>
      <c r="B5" s="11" t="inlineStr">
        <is>
          <t>Cosmetic Pipeline</t>
        </is>
      </c>
      <c r="C5" s="14" t="inlineStr">
        <is>
          <t>Critical</t>
        </is>
      </c>
      <c r="D5" s="11" t="inlineStr">
        <is>
          <t>Positive</t>
        </is>
      </c>
      <c r="E5" s="11" t="inlineStr">
        <is>
          <t>Full cosmetic pipeline: Cleaning through Final QC</t>
        </is>
      </c>
      <c r="F5" s="11" t="inlineStr">
        <is>
          <t>Device in cleaning stage</t>
        </is>
      </c>
      <c r="G5" s="11" t="inlineStr">
        <is>
          <t>1. Advance device through each stage sequentially
2. Cleaning → Dry Sanding → Masking → Painting → Water Sanding → Final QC</t>
        </is>
      </c>
      <c r="H5" s="11" t="inlineStr">
        <is>
          <t>Barcode: OXY-UAT-00001</t>
        </is>
      </c>
      <c r="I5" s="11" t="inlineStr">
        <is>
          <t>Device progresses through all 6 stages; stage movements all recorded; at Final QC stage after 5 advances</t>
        </is>
      </c>
      <c r="J5" s="11" t="inlineStr"/>
      <c r="K5" s="11" t="inlineStr"/>
      <c r="L5" s="11" t="inlineStr"/>
    </row>
    <row r="6" ht="55" customHeight="1">
      <c r="A6" s="12" t="inlineStr">
        <is>
          <t>TC-COS-004</t>
        </is>
      </c>
      <c r="B6" s="12" t="inlineStr">
        <is>
          <t>Cosmetic Pipeline</t>
        </is>
      </c>
      <c r="C6" s="14" t="inlineStr">
        <is>
          <t>Critical</t>
        </is>
      </c>
      <c r="D6" s="12" t="inlineStr">
        <is>
          <t>Positive</t>
        </is>
      </c>
      <c r="E6" s="12" t="inlineStr">
        <is>
          <t>Final QC advance → Ready to Sale</t>
        </is>
      </c>
      <c r="F6" s="12" t="inlineStr">
        <is>
          <t>Device in final_qc stage</t>
        </is>
      </c>
      <c r="G6" s="12" t="inlineStr">
        <is>
          <t>1. Go to Cosmetic → Final QC
2. Advance device</t>
        </is>
      </c>
      <c r="H6" s="12" t="inlineStr">
        <is>
          <t>Barcode in final_qc stage</t>
        </is>
      </c>
      <c r="I6" s="12" t="inlineStr">
        <is>
          <t>Device stage = ready_to_sale; device appears in Sales → Ready to Sale list</t>
        </is>
      </c>
      <c r="J6" s="12" t="inlineStr"/>
      <c r="K6" s="12" t="inlineStr"/>
      <c r="L6" s="12" t="inlineStr"/>
    </row>
    <row r="7" ht="55" customHeight="1">
      <c r="A7" s="11" t="inlineStr">
        <is>
          <t>TC-COS-005</t>
        </is>
      </c>
      <c r="B7" s="11" t="inlineStr">
        <is>
          <t>Cosmetic Pipeline</t>
        </is>
      </c>
      <c r="C7" s="15" t="inlineStr">
        <is>
          <t>High</t>
        </is>
      </c>
      <c r="D7" s="11" t="inlineStr">
        <is>
          <t>Positive</t>
        </is>
      </c>
      <c r="E7" s="11" t="inlineStr">
        <is>
          <t>Stage navigation tabs on stage page</t>
        </is>
      </c>
      <c r="F7" s="11" t="inlineStr">
        <is>
          <t>In any cosmetic stage page</t>
        </is>
      </c>
      <c r="G7" s="11" t="inlineStr">
        <is>
          <t>1. Go to Cosmetic → Cleaning
2. Observe top nav tabs</t>
        </is>
      </c>
      <c r="H7" s="11" t="inlineStr">
        <is>
          <t>Any cosmetic stage</t>
        </is>
      </c>
      <c r="I7" s="11" t="inlineStr">
        <is>
          <t>Navigation tabs show all 6 stages; active stage highlighted; clicking tab navigates to that stage's list</t>
        </is>
      </c>
      <c r="J7" s="11" t="inlineStr"/>
      <c r="K7" s="11" t="inlineStr"/>
      <c r="L7" s="11" t="inlineStr"/>
    </row>
  </sheetData>
  <autoFilter ref="A2:L2"/>
  <mergeCells count="1">
    <mergeCell ref="A1:L1"/>
  </mergeCells>
  <dataValidations count="1">
    <dataValidation sqref="K3 K4 K5 K6 K7" showDropDown="0" showInputMessage="0" showErrorMessage="0" allowBlank="1" type="list">
      <formula1>"Pass,Fail,Blocked,Not Tested,N/A"</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6"/>
  <sheetViews>
    <sheetView showGridLines="0" workbookViewId="0">
      <pane ySplit="2" topLeftCell="A3" activePane="bottomLeft" state="frozen"/>
      <selection pane="bottomLeft" activeCell="A1" sqref="A1"/>
    </sheetView>
  </sheetViews>
  <sheetFormatPr baseColWidth="8" defaultRowHeight="15"/>
  <cols>
    <col width="12" customWidth="1" min="1" max="1"/>
    <col width="18" customWidth="1" min="2" max="2"/>
    <col width="10" customWidth="1" min="3" max="3"/>
    <col width="14" customWidth="1" min="4" max="4"/>
    <col width="35" customWidth="1" min="5" max="5"/>
    <col width="30" customWidth="1" min="6" max="6"/>
    <col width="55" customWidth="1" min="7" max="7"/>
    <col width="35" customWidth="1" min="8" max="8"/>
    <col width="40" customWidth="1" min="9" max="9"/>
    <col width="30" customWidth="1" min="10" max="10"/>
    <col width="12" customWidth="1" min="11" max="11"/>
    <col width="22" customWidth="1" min="12" max="12"/>
  </cols>
  <sheetData>
    <row r="1" ht="32" customHeight="1">
      <c r="A1" s="44" t="inlineStr">
        <is>
          <t>OxyPC UAT — 08 — Sales</t>
        </is>
      </c>
    </row>
    <row r="2" ht="28" customHeight="1">
      <c r="A2" s="10" t="inlineStr">
        <is>
          <t>TC ID</t>
        </is>
      </c>
      <c r="B2" s="10" t="inlineStr">
        <is>
          <t>Module</t>
        </is>
      </c>
      <c r="C2" s="10" t="inlineStr">
        <is>
          <t>Priority</t>
        </is>
      </c>
      <c r="D2" s="10" t="inlineStr">
        <is>
          <t>Test Type</t>
        </is>
      </c>
      <c r="E2" s="10" t="inlineStr">
        <is>
          <t>Test Scenario</t>
        </is>
      </c>
      <c r="F2" s="10" t="inlineStr">
        <is>
          <t>Pre-Conditions</t>
        </is>
      </c>
      <c r="G2" s="10" t="inlineStr">
        <is>
          <t>Test Steps</t>
        </is>
      </c>
      <c r="H2" s="10" t="inlineStr">
        <is>
          <t>Test Data</t>
        </is>
      </c>
      <c r="I2" s="10" t="inlineStr">
        <is>
          <t>Expected Result</t>
        </is>
      </c>
      <c r="J2" s="10" t="inlineStr">
        <is>
          <t>Actual Result</t>
        </is>
      </c>
      <c r="K2" s="10" t="inlineStr">
        <is>
          <t>Pass / Fail</t>
        </is>
      </c>
      <c r="L2" s="10" t="inlineStr">
        <is>
          <t>Remarks</t>
        </is>
      </c>
    </row>
    <row r="3" ht="55" customHeight="1">
      <c r="A3" s="11" t="inlineStr">
        <is>
          <t>TC-SALE-001</t>
        </is>
      </c>
      <c r="B3" s="11" t="inlineStr">
        <is>
          <t>Sales</t>
        </is>
      </c>
      <c r="C3" s="14" t="inlineStr">
        <is>
          <t>Critical</t>
        </is>
      </c>
      <c r="D3" s="11" t="inlineStr">
        <is>
          <t>Positive</t>
        </is>
      </c>
      <c r="E3" s="11" t="inlineStr">
        <is>
          <t>Create a sale for ready device</t>
        </is>
      </c>
      <c r="F3" s="11" t="inlineStr">
        <is>
          <t>Device in ready_to_sale stage; Sales user logged in</t>
        </is>
      </c>
      <c r="G3" s="11" t="inlineStr">
        <is>
          <t>1. Go to Sales → Ready to Sale
2. Click Sell on a device
3. Fill sale form
4. Submit</t>
        </is>
      </c>
      <c r="H3" s="11" t="inlineStr">
        <is>
          <t>Sale#: SALE-UAT-001 | Device: OXY-TEST-00051 | Price: 25000 | Customer: Rahul Sharma | Phone: 9876543210 | Payment: UPI | Inv: SINV-UAT-001</t>
        </is>
      </c>
      <c r="I3" s="11" t="inlineStr">
        <is>
          <t>Sale created; device stage = sold; device removed from Ready to Sale list; revenue recorded</t>
        </is>
      </c>
      <c r="J3" s="11" t="inlineStr"/>
      <c r="K3" s="11" t="inlineStr"/>
      <c r="L3" s="11" t="inlineStr"/>
    </row>
    <row r="4" ht="55" customHeight="1">
      <c r="A4" s="12" t="inlineStr">
        <is>
          <t>TC-SALE-002</t>
        </is>
      </c>
      <c r="B4" s="12" t="inlineStr">
        <is>
          <t>Sales</t>
        </is>
      </c>
      <c r="C4" s="15" t="inlineStr">
        <is>
          <t>High</t>
        </is>
      </c>
      <c r="D4" s="12" t="inlineStr">
        <is>
          <t>Positive</t>
        </is>
      </c>
      <c r="E4" s="12" t="inlineStr">
        <is>
          <t>Sales list shows all completed sales</t>
        </is>
      </c>
      <c r="F4" s="12" t="inlineStr">
        <is>
          <t>Sales records exist</t>
        </is>
      </c>
      <c r="G4" s="12" t="inlineStr">
        <is>
          <t>1. Go to Sales → Sales List</t>
        </is>
      </c>
      <c r="H4" s="12" t="inlineStr">
        <is>
          <t>Seeded 25 sales records</t>
        </is>
      </c>
      <c r="I4" s="12" t="inlineStr">
        <is>
          <t>All sales listed with: Sale #, Device, Customer, Sale Price, Payment Mode, Date, Sold By</t>
        </is>
      </c>
      <c r="J4" s="12" t="inlineStr"/>
      <c r="K4" s="12" t="inlineStr"/>
      <c r="L4" s="12" t="inlineStr"/>
    </row>
    <row r="5" ht="55" customHeight="1">
      <c r="A5" s="11" t="inlineStr">
        <is>
          <t>TC-SALE-003</t>
        </is>
      </c>
      <c r="B5" s="11" t="inlineStr">
        <is>
          <t>Sales</t>
        </is>
      </c>
      <c r="C5" s="15" t="inlineStr">
        <is>
          <t>High</t>
        </is>
      </c>
      <c r="D5" s="11" t="inlineStr">
        <is>
          <t>Positive</t>
        </is>
      </c>
      <c r="E5" s="11" t="inlineStr">
        <is>
          <t>All payment modes accepted</t>
        </is>
      </c>
      <c r="F5" s="11" t="inlineStr">
        <is>
          <t>Device in ready_to_sale</t>
        </is>
      </c>
      <c r="G5" s="11" t="inlineStr">
        <is>
          <t>1. Create sale
2. Test each payment mode: Cash, UPI, Card, Credit, Cheque</t>
        </is>
      </c>
      <c r="H5" s="11" t="inlineStr">
        <is>
          <t>Payment Mode: Cash / UPI / Card / Credit / Cheque</t>
        </is>
      </c>
      <c r="I5" s="11" t="inlineStr">
        <is>
          <t>Each payment mode accepted; sale created successfully for each</t>
        </is>
      </c>
      <c r="J5" s="11" t="inlineStr"/>
      <c r="K5" s="11" t="inlineStr"/>
      <c r="L5" s="11" t="inlineStr"/>
    </row>
    <row r="6" ht="55" customHeight="1">
      <c r="A6" s="12" t="inlineStr">
        <is>
          <t>TC-SALE-004</t>
        </is>
      </c>
      <c r="B6" s="12" t="inlineStr">
        <is>
          <t>Sales</t>
        </is>
      </c>
      <c r="C6" s="12" t="inlineStr">
        <is>
          <t>Medium</t>
        </is>
      </c>
      <c r="D6" s="12" t="inlineStr">
        <is>
          <t>Negative</t>
        </is>
      </c>
      <c r="E6" s="12" t="inlineStr">
        <is>
          <t>Cannot sell device not in ready_to_sale</t>
        </is>
      </c>
      <c r="F6" s="12" t="inlineStr">
        <is>
          <t>Device in l1 stage</t>
        </is>
      </c>
      <c r="G6" s="12" t="inlineStr">
        <is>
          <t>1. Attempt to create sale for an l1-stage device</t>
        </is>
      </c>
      <c r="H6" s="12" t="inlineStr">
        <is>
          <t>Device in l1 stage</t>
        </is>
      </c>
      <c r="I6" s="12" t="inlineStr">
        <is>
          <t>Error shown or device not listed in Ready to Sale; sale cannot be created</t>
        </is>
      </c>
      <c r="J6" s="12" t="inlineStr"/>
      <c r="K6" s="12" t="inlineStr"/>
      <c r="L6" s="12" t="inlineStr"/>
    </row>
  </sheetData>
  <autoFilter ref="A2:L2"/>
  <mergeCells count="1">
    <mergeCell ref="A1:L1"/>
  </mergeCells>
  <dataValidations count="1">
    <dataValidation sqref="K3 K4 K5 K6" showDropDown="0" showInputMessage="0" showErrorMessage="0" allowBlank="1" type="list">
      <formula1>"Pass,Fail,Blocked,Not Tested,N/A"</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5"/>
  <sheetViews>
    <sheetView showGridLines="0" workbookViewId="0">
      <pane ySplit="2" topLeftCell="A3" activePane="bottomLeft" state="frozen"/>
      <selection pane="bottomLeft" activeCell="A1" sqref="A1"/>
    </sheetView>
  </sheetViews>
  <sheetFormatPr baseColWidth="8" defaultRowHeight="15"/>
  <cols>
    <col width="12" customWidth="1" min="1" max="1"/>
    <col width="18" customWidth="1" min="2" max="2"/>
    <col width="10" customWidth="1" min="3" max="3"/>
    <col width="14" customWidth="1" min="4" max="4"/>
    <col width="35" customWidth="1" min="5" max="5"/>
    <col width="30" customWidth="1" min="6" max="6"/>
    <col width="55" customWidth="1" min="7" max="7"/>
    <col width="35" customWidth="1" min="8" max="8"/>
    <col width="40" customWidth="1" min="9" max="9"/>
    <col width="30" customWidth="1" min="10" max="10"/>
    <col width="12" customWidth="1" min="11" max="11"/>
    <col width="22" customWidth="1" min="12" max="12"/>
  </cols>
  <sheetData>
    <row r="1" ht="32" customHeight="1">
      <c r="A1" s="44" t="inlineStr">
        <is>
          <t>OxyPC UAT — 09 — Returns</t>
        </is>
      </c>
    </row>
    <row r="2" ht="28" customHeight="1">
      <c r="A2" s="10" t="inlineStr">
        <is>
          <t>TC ID</t>
        </is>
      </c>
      <c r="B2" s="10" t="inlineStr">
        <is>
          <t>Module</t>
        </is>
      </c>
      <c r="C2" s="10" t="inlineStr">
        <is>
          <t>Priority</t>
        </is>
      </c>
      <c r="D2" s="10" t="inlineStr">
        <is>
          <t>Test Type</t>
        </is>
      </c>
      <c r="E2" s="10" t="inlineStr">
        <is>
          <t>Test Scenario</t>
        </is>
      </c>
      <c r="F2" s="10" t="inlineStr">
        <is>
          <t>Pre-Conditions</t>
        </is>
      </c>
      <c r="G2" s="10" t="inlineStr">
        <is>
          <t>Test Steps</t>
        </is>
      </c>
      <c r="H2" s="10" t="inlineStr">
        <is>
          <t>Test Data</t>
        </is>
      </c>
      <c r="I2" s="10" t="inlineStr">
        <is>
          <t>Expected Result</t>
        </is>
      </c>
      <c r="J2" s="10" t="inlineStr">
        <is>
          <t>Actual Result</t>
        </is>
      </c>
      <c r="K2" s="10" t="inlineStr">
        <is>
          <t>Pass / Fail</t>
        </is>
      </c>
      <c r="L2" s="10" t="inlineStr">
        <is>
          <t>Remarks</t>
        </is>
      </c>
    </row>
    <row r="3" ht="55" customHeight="1">
      <c r="A3" s="11" t="inlineStr">
        <is>
          <t>TC-RET-001</t>
        </is>
      </c>
      <c r="B3" s="11" t="inlineStr">
        <is>
          <t>Returns</t>
        </is>
      </c>
      <c r="C3" s="14" t="inlineStr">
        <is>
          <t>Critical</t>
        </is>
      </c>
      <c r="D3" s="11" t="inlineStr">
        <is>
          <t>Positive</t>
        </is>
      </c>
      <c r="E3" s="11" t="inlineStr">
        <is>
          <t>Process a return</t>
        </is>
      </c>
      <c r="F3" s="11" t="inlineStr">
        <is>
          <t>A sale exists; Sales user logged in</t>
        </is>
      </c>
      <c r="G3" s="11" t="inlineStr">
        <is>
          <t>1. Go to Sales → Returns → New Return
2. Enter sale number or barcode
3. Fill reason and condition
4. Enter refund amount
5. Submit</t>
        </is>
      </c>
      <c r="H3" s="11" t="inlineStr">
        <is>
          <t>Sale: SALE-SEED-0001 | Reason: Not working | Condition: As Sold | Refund: 15000</t>
        </is>
      </c>
      <c r="I3" s="11" t="inlineStr">
        <is>
          <t>Return record created; device stage = returned; refund amount saved</t>
        </is>
      </c>
      <c r="J3" s="11" t="inlineStr"/>
      <c r="K3" s="11" t="inlineStr"/>
      <c r="L3" s="11" t="inlineStr"/>
    </row>
    <row r="4" ht="55" customHeight="1">
      <c r="A4" s="12" t="inlineStr">
        <is>
          <t>TC-RET-002</t>
        </is>
      </c>
      <c r="B4" s="12" t="inlineStr">
        <is>
          <t>Returns</t>
        </is>
      </c>
      <c r="C4" s="15" t="inlineStr">
        <is>
          <t>High</t>
        </is>
      </c>
      <c r="D4" s="12" t="inlineStr">
        <is>
          <t>Positive</t>
        </is>
      </c>
      <c r="E4" s="12" t="inlineStr">
        <is>
          <t>Returns list shows all returns</t>
        </is>
      </c>
      <c r="F4" s="12" t="inlineStr">
        <is>
          <t>Return records exist</t>
        </is>
      </c>
      <c r="G4" s="12" t="inlineStr">
        <is>
          <t>1. Go to Sales → Returns</t>
        </is>
      </c>
      <c r="H4" s="12" t="inlineStr">
        <is>
          <t>Seeded 3 return records</t>
        </is>
      </c>
      <c r="I4" s="12" t="inlineStr">
        <is>
          <t>All returns listed: Return Date, Barcode, Device, Sale #, Sale Price, Refund, Reason, Condition, Processed By</t>
        </is>
      </c>
      <c r="J4" s="12" t="inlineStr"/>
      <c r="K4" s="12" t="inlineStr"/>
      <c r="L4" s="12" t="inlineStr"/>
    </row>
    <row r="5" ht="55" customHeight="1">
      <c r="A5" s="11" t="inlineStr">
        <is>
          <t>TC-RET-003</t>
        </is>
      </c>
      <c r="B5" s="11" t="inlineStr">
        <is>
          <t>Returns</t>
        </is>
      </c>
      <c r="C5" s="11" t="inlineStr">
        <is>
          <t>Medium</t>
        </is>
      </c>
      <c r="D5" s="11" t="inlineStr">
        <is>
          <t>Positive</t>
        </is>
      </c>
      <c r="E5" s="11" t="inlineStr">
        <is>
          <t>Returned device can be re-routed to IQC</t>
        </is>
      </c>
      <c r="F5" s="11" t="inlineStr">
        <is>
          <t>Device in returned stage</t>
        </is>
      </c>
      <c r="G5" s="11" t="inlineStr">
        <is>
          <t>1. Inventory Manager re-routes returned device to IQC or Stock In</t>
        </is>
      </c>
      <c r="H5" s="11" t="inlineStr">
        <is>
          <t>Returned device barcode</t>
        </is>
      </c>
      <c r="I5" s="11" t="inlineStr">
        <is>
          <t>Device stage moves from returned to iqc or stock_in; stage movement logged</t>
        </is>
      </c>
      <c r="J5" s="11" t="inlineStr"/>
      <c r="K5" s="11" t="inlineStr"/>
      <c r="L5" s="11" t="inlineStr"/>
    </row>
  </sheetData>
  <autoFilter ref="A2:L2"/>
  <mergeCells count="1">
    <mergeCell ref="A1:L1"/>
  </mergeCells>
  <dataValidations count="1">
    <dataValidation sqref="K3 K4 K5" showDropDown="0" showInputMessage="0" showErrorMessage="0" allowBlank="1" type="list">
      <formula1>"Pass,Fail,Blocked,Not Tested,N/A"</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7"/>
  <sheetViews>
    <sheetView showGridLines="0" workbookViewId="0">
      <pane ySplit="2" topLeftCell="A3" activePane="bottomLeft" state="frozen"/>
      <selection pane="bottomLeft" activeCell="A1" sqref="A1"/>
    </sheetView>
  </sheetViews>
  <sheetFormatPr baseColWidth="8" defaultRowHeight="15"/>
  <cols>
    <col width="12" customWidth="1" min="1" max="1"/>
    <col width="18" customWidth="1" min="2" max="2"/>
    <col width="10" customWidth="1" min="3" max="3"/>
    <col width="14" customWidth="1" min="4" max="4"/>
    <col width="35" customWidth="1" min="5" max="5"/>
    <col width="30" customWidth="1" min="6" max="6"/>
    <col width="55" customWidth="1" min="7" max="7"/>
    <col width="35" customWidth="1" min="8" max="8"/>
    <col width="40" customWidth="1" min="9" max="9"/>
    <col width="30" customWidth="1" min="10" max="10"/>
    <col width="12" customWidth="1" min="11" max="11"/>
    <col width="22" customWidth="1" min="12" max="12"/>
  </cols>
  <sheetData>
    <row r="1" ht="32" customHeight="1">
      <c r="A1" s="44" t="inlineStr">
        <is>
          <t>OxyPC UAT — 10 — Spare Parts</t>
        </is>
      </c>
    </row>
    <row r="2" ht="28" customHeight="1">
      <c r="A2" s="10" t="inlineStr">
        <is>
          <t>TC ID</t>
        </is>
      </c>
      <c r="B2" s="10" t="inlineStr">
        <is>
          <t>Module</t>
        </is>
      </c>
      <c r="C2" s="10" t="inlineStr">
        <is>
          <t>Priority</t>
        </is>
      </c>
      <c r="D2" s="10" t="inlineStr">
        <is>
          <t>Test Type</t>
        </is>
      </c>
      <c r="E2" s="10" t="inlineStr">
        <is>
          <t>Test Scenario</t>
        </is>
      </c>
      <c r="F2" s="10" t="inlineStr">
        <is>
          <t>Pre-Conditions</t>
        </is>
      </c>
      <c r="G2" s="10" t="inlineStr">
        <is>
          <t>Test Steps</t>
        </is>
      </c>
      <c r="H2" s="10" t="inlineStr">
        <is>
          <t>Test Data</t>
        </is>
      </c>
      <c r="I2" s="10" t="inlineStr">
        <is>
          <t>Expected Result</t>
        </is>
      </c>
      <c r="J2" s="10" t="inlineStr">
        <is>
          <t>Actual Result</t>
        </is>
      </c>
      <c r="K2" s="10" t="inlineStr">
        <is>
          <t>Pass / Fail</t>
        </is>
      </c>
      <c r="L2" s="10" t="inlineStr">
        <is>
          <t>Remarks</t>
        </is>
      </c>
    </row>
    <row r="3" ht="55" customHeight="1">
      <c r="A3" s="11" t="inlineStr">
        <is>
          <t>TC-PARTS-001</t>
        </is>
      </c>
      <c r="B3" s="11" t="inlineStr">
        <is>
          <t>Spare Parts</t>
        </is>
      </c>
      <c r="C3" s="14" t="inlineStr">
        <is>
          <t>Critical</t>
        </is>
      </c>
      <c r="D3" s="11" t="inlineStr">
        <is>
          <t>Positive</t>
        </is>
      </c>
      <c r="E3" s="11" t="inlineStr">
        <is>
          <t>Add new spare part</t>
        </is>
      </c>
      <c r="F3" s="11" t="inlineStr">
        <is>
          <t>Spare Parts Manager logged in</t>
        </is>
      </c>
      <c r="G3" s="11" t="inlineStr">
        <is>
          <t>1. Go to Spare Parts → Add Part
2. Fill all fields
3. Save</t>
        </is>
      </c>
      <c r="H3" s="11" t="inlineStr">
        <is>
          <t>Code: RAM-DDR4-16G | Name: DDR4 16GB RAM | Category: RAM | Price: 2500 | Stock: 5 | Min Alert: 2 | Supplier: TechParts Ltd</t>
        </is>
      </c>
      <c r="I3" s="11" t="inlineStr">
        <is>
          <t>Part created; appears in catalogue; stock count shows 5</t>
        </is>
      </c>
      <c r="J3" s="11" t="inlineStr"/>
      <c r="K3" s="11" t="inlineStr"/>
      <c r="L3" s="11" t="inlineStr"/>
    </row>
    <row r="4" ht="55" customHeight="1">
      <c r="A4" s="12" t="inlineStr">
        <is>
          <t>TC-PARTS-002</t>
        </is>
      </c>
      <c r="B4" s="12" t="inlineStr">
        <is>
          <t>Spare Parts</t>
        </is>
      </c>
      <c r="C4" s="14" t="inlineStr">
        <is>
          <t>Critical</t>
        </is>
      </c>
      <c r="D4" s="12" t="inlineStr">
        <is>
          <t>Positive</t>
        </is>
      </c>
      <c r="E4" s="12" t="inlineStr">
        <is>
          <t>Log purchase — stock increments</t>
        </is>
      </c>
      <c r="F4" s="12" t="inlineStr">
        <is>
          <t>Spare part exists; Spare Parts Manager logged in</t>
        </is>
      </c>
      <c r="G4" s="12" t="inlineStr">
        <is>
          <t>1. Go to Spare Parts → Log Purchase
2. Select part RAM-DDR4-16G
3. Enter qty: 10
4. Submit</t>
        </is>
      </c>
      <c r="H4" s="12" t="inlineStr">
        <is>
          <t>Part: RAM-DDR4-16G | Qty: 10 | Unit Price: 2400 | Supplier: TechParts Ltd</t>
        </is>
      </c>
      <c r="I4" s="12" t="inlineStr">
        <is>
          <t>Purchase logged; part stock increments to 15; purchase record saved</t>
        </is>
      </c>
      <c r="J4" s="12" t="inlineStr"/>
      <c r="K4" s="12" t="inlineStr"/>
      <c r="L4" s="12" t="inlineStr"/>
    </row>
    <row r="5" ht="55" customHeight="1">
      <c r="A5" s="11" t="inlineStr">
        <is>
          <t>TC-PARTS-003</t>
        </is>
      </c>
      <c r="B5" s="11" t="inlineStr">
        <is>
          <t>Spare Parts</t>
        </is>
      </c>
      <c r="C5" s="14" t="inlineStr">
        <is>
          <t>Critical</t>
        </is>
      </c>
      <c r="D5" s="11" t="inlineStr">
        <is>
          <t>Positive</t>
        </is>
      </c>
      <c r="E5" s="11" t="inlineStr">
        <is>
          <t>Log consumption — stock decrements</t>
        </is>
      </c>
      <c r="F5" s="11" t="inlineStr">
        <is>
          <t>Spare part in stock; repair job active</t>
        </is>
      </c>
      <c r="G5" s="11" t="inlineStr">
        <is>
          <t>1. Go to Spare Parts → Log Consumption
2. Select part and device
3. Qty: 1
4. Submit</t>
        </is>
      </c>
      <c r="H5" s="11" t="inlineStr">
        <is>
          <t>Part: RAM-DDR4-16G | Device: OXY-TEST-00021 | Qty: 1 | Stage: L1</t>
        </is>
      </c>
      <c r="I5" s="11" t="inlineStr">
        <is>
          <t>Consumption logged; stock decrements by 1; cost linked to device for P&amp;L</t>
        </is>
      </c>
      <c r="J5" s="11" t="inlineStr"/>
      <c r="K5" s="11" t="inlineStr"/>
      <c r="L5" s="11" t="inlineStr"/>
    </row>
    <row r="6" ht="55" customHeight="1">
      <c r="A6" s="12" t="inlineStr">
        <is>
          <t>TC-PARTS-004</t>
        </is>
      </c>
      <c r="B6" s="12" t="inlineStr">
        <is>
          <t>Spare Parts</t>
        </is>
      </c>
      <c r="C6" s="15" t="inlineStr">
        <is>
          <t>High</t>
        </is>
      </c>
      <c r="D6" s="12" t="inlineStr">
        <is>
          <t>Positive</t>
        </is>
      </c>
      <c r="E6" s="12" t="inlineStr">
        <is>
          <t>Low stock alert visible</t>
        </is>
      </c>
      <c r="F6" s="12" t="inlineStr">
        <is>
          <t>Part with qty_in_stock &lt; min_stock_alert exists</t>
        </is>
      </c>
      <c r="G6" s="12" t="inlineStr">
        <is>
          <t>1. Go to Spare Parts list
2. Observe low-stock flagging</t>
        </is>
      </c>
      <c r="H6" s="12" t="inlineStr">
        <is>
          <t>Part with stock=1, min_alert=5</t>
        </is>
      </c>
      <c r="I6" s="12" t="inlineStr">
        <is>
          <t>Low-stock parts highlighted (red or warning indicator); visible on dashboard</t>
        </is>
      </c>
      <c r="J6" s="12" t="inlineStr"/>
      <c r="K6" s="12" t="inlineStr"/>
      <c r="L6" s="12" t="inlineStr"/>
    </row>
    <row r="7" ht="55" customHeight="1">
      <c r="A7" s="11" t="inlineStr">
        <is>
          <t>TC-PARTS-005</t>
        </is>
      </c>
      <c r="B7" s="11" t="inlineStr">
        <is>
          <t>Spare Parts</t>
        </is>
      </c>
      <c r="C7" s="15" t="inlineStr">
        <is>
          <t>High</t>
        </is>
      </c>
      <c r="D7" s="11" t="inlineStr">
        <is>
          <t>Positive</t>
        </is>
      </c>
      <c r="E7" s="11" t="inlineStr">
        <is>
          <t>Edit spare part details</t>
        </is>
      </c>
      <c r="F7" s="11" t="inlineStr">
        <is>
          <t>Spare part exists</t>
        </is>
      </c>
      <c r="G7" s="11" t="inlineStr">
        <is>
          <t>1. Go to Spare Parts list
2. Click Edit on a part
3. Update price and supplier
4. Save</t>
        </is>
      </c>
      <c r="H7" s="11" t="inlineStr">
        <is>
          <t>New price: 2800 | New supplier: Parts World</t>
        </is>
      </c>
      <c r="I7" s="11" t="inlineStr">
        <is>
          <t>Part updated; new values reflected in catalogue; part code unchanged (readonly)</t>
        </is>
      </c>
      <c r="J7" s="11" t="inlineStr"/>
      <c r="K7" s="11" t="inlineStr"/>
      <c r="L7" s="11" t="inlineStr"/>
    </row>
  </sheetData>
  <autoFilter ref="A2:L2"/>
  <mergeCells count="1">
    <mergeCell ref="A1:L1"/>
  </mergeCells>
  <dataValidations count="1">
    <dataValidation sqref="K3 K4 K5 K6 K7" showDropDown="0" showInputMessage="0" showErrorMessage="0" allowBlank="1" type="list">
      <formula1>"Pass,Fail,Blocked,Not Tested,N/A"</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5"/>
  <sheetViews>
    <sheetView showGridLines="0" workbookViewId="0">
      <pane ySplit="2" topLeftCell="A3" activePane="bottomLeft" state="frozen"/>
      <selection pane="bottomLeft" activeCell="A1" sqref="A1"/>
    </sheetView>
  </sheetViews>
  <sheetFormatPr baseColWidth="8" defaultRowHeight="15"/>
  <cols>
    <col width="12" customWidth="1" min="1" max="1"/>
    <col width="18" customWidth="1" min="2" max="2"/>
    <col width="10" customWidth="1" min="3" max="3"/>
    <col width="14" customWidth="1" min="4" max="4"/>
    <col width="35" customWidth="1" min="5" max="5"/>
    <col width="30" customWidth="1" min="6" max="6"/>
    <col width="55" customWidth="1" min="7" max="7"/>
    <col width="35" customWidth="1" min="8" max="8"/>
    <col width="40" customWidth="1" min="9" max="9"/>
    <col width="30" customWidth="1" min="10" max="10"/>
    <col width="12" customWidth="1" min="11" max="11"/>
    <col width="22" customWidth="1" min="12" max="12"/>
  </cols>
  <sheetData>
    <row r="1" ht="32" customHeight="1">
      <c r="A1" s="44" t="inlineStr">
        <is>
          <t>OxyPC UAT — 11 — RAM</t>
        </is>
      </c>
    </row>
    <row r="2" ht="28" customHeight="1">
      <c r="A2" s="10" t="inlineStr">
        <is>
          <t>TC ID</t>
        </is>
      </c>
      <c r="B2" s="10" t="inlineStr">
        <is>
          <t>Module</t>
        </is>
      </c>
      <c r="C2" s="10" t="inlineStr">
        <is>
          <t>Priority</t>
        </is>
      </c>
      <c r="D2" s="10" t="inlineStr">
        <is>
          <t>Test Type</t>
        </is>
      </c>
      <c r="E2" s="10" t="inlineStr">
        <is>
          <t>Test Scenario</t>
        </is>
      </c>
      <c r="F2" s="10" t="inlineStr">
        <is>
          <t>Pre-Conditions</t>
        </is>
      </c>
      <c r="G2" s="10" t="inlineStr">
        <is>
          <t>Test Steps</t>
        </is>
      </c>
      <c r="H2" s="10" t="inlineStr">
        <is>
          <t>Test Data</t>
        </is>
      </c>
      <c r="I2" s="10" t="inlineStr">
        <is>
          <t>Expected Result</t>
        </is>
      </c>
      <c r="J2" s="10" t="inlineStr">
        <is>
          <t>Actual Result</t>
        </is>
      </c>
      <c r="K2" s="10" t="inlineStr">
        <is>
          <t>Pass / Fail</t>
        </is>
      </c>
      <c r="L2" s="10" t="inlineStr">
        <is>
          <t>Remarks</t>
        </is>
      </c>
    </row>
    <row r="3" ht="55" customHeight="1">
      <c r="A3" s="11" t="inlineStr">
        <is>
          <t>TC-RAM-001</t>
        </is>
      </c>
      <c r="B3" s="11" t="inlineStr">
        <is>
          <t>RAM Tracking</t>
        </is>
      </c>
      <c r="C3" s="15" t="inlineStr">
        <is>
          <t>High</t>
        </is>
      </c>
      <c r="D3" s="11" t="inlineStr">
        <is>
          <t>Positive</t>
        </is>
      </c>
      <c r="E3" s="11" t="inlineStr">
        <is>
          <t>Log RAM removal from device</t>
        </is>
      </c>
      <c r="F3" s="11" t="inlineStr">
        <is>
          <t>L1/L2 Engineer logged in; device in repair</t>
        </is>
      </c>
      <c r="G3" s="11" t="inlineStr">
        <is>
          <t>1. Go to Spare Parts → RAM Tracking → Log Action
2. Action: Removed
3. Source device: OXY-TEST-00021
4. RAM: 4GB DDR4
5. Submit</t>
        </is>
      </c>
      <c r="H3" s="11" t="inlineStr">
        <is>
          <t>Action: removed | Device: OXY-TEST-00021 | RAM: 4GB | Type: DDR4</t>
        </is>
      </c>
      <c r="I3" s="11" t="inlineStr">
        <is>
          <t>RAM removal logged; entry in ram_tracking table with action=removed</t>
        </is>
      </c>
      <c r="J3" s="11" t="inlineStr"/>
      <c r="K3" s="11" t="inlineStr"/>
      <c r="L3" s="11" t="inlineStr"/>
    </row>
    <row r="4" ht="55" customHeight="1">
      <c r="A4" s="12" t="inlineStr">
        <is>
          <t>TC-RAM-002</t>
        </is>
      </c>
      <c r="B4" s="12" t="inlineStr">
        <is>
          <t>RAM Tracking</t>
        </is>
      </c>
      <c r="C4" s="15" t="inlineStr">
        <is>
          <t>High</t>
        </is>
      </c>
      <c r="D4" s="12" t="inlineStr">
        <is>
          <t>Positive</t>
        </is>
      </c>
      <c r="E4" s="12" t="inlineStr">
        <is>
          <t>Log RAM added to device</t>
        </is>
      </c>
      <c r="F4" s="12" t="inlineStr">
        <is>
          <t>RAM tracking — add</t>
        </is>
      </c>
      <c r="G4" s="12" t="inlineStr">
        <is>
          <t>1. Action: Added
2. Destination device: OXY-TEST-00022
3. RAM: 8GB DDR4</t>
        </is>
      </c>
      <c r="H4" s="12" t="inlineStr">
        <is>
          <t>Action: added | Device: OXY-TEST-00022 | RAM: 8GB | Type: DDR4</t>
        </is>
      </c>
      <c r="I4" s="12" t="inlineStr">
        <is>
          <t>RAM add logged; device's RAM spec can be updated</t>
        </is>
      </c>
      <c r="J4" s="12" t="inlineStr"/>
      <c r="K4" s="12" t="inlineStr"/>
      <c r="L4" s="12" t="inlineStr"/>
    </row>
    <row r="5" ht="55" customHeight="1">
      <c r="A5" s="11" t="inlineStr">
        <is>
          <t>TC-RAM-003</t>
        </is>
      </c>
      <c r="B5" s="11" t="inlineStr">
        <is>
          <t>RAM Tracking</t>
        </is>
      </c>
      <c r="C5" s="11" t="inlineStr">
        <is>
          <t>Medium</t>
        </is>
      </c>
      <c r="D5" s="11" t="inlineStr">
        <is>
          <t>Positive</t>
        </is>
      </c>
      <c r="E5" s="11" t="inlineStr">
        <is>
          <t>RAM tracking history viewable</t>
        </is>
      </c>
      <c r="F5" s="11" t="inlineStr">
        <is>
          <t>RAM tracking records exist</t>
        </is>
      </c>
      <c r="G5" s="11" t="inlineStr">
        <is>
          <t>1. Go to Spare Parts → RAM Tracking
2. View log</t>
        </is>
      </c>
      <c r="H5" s="11" t="inlineStr">
        <is>
          <t>Seeded 5 RAM tracking entries</t>
        </is>
      </c>
      <c r="I5" s="11" t="inlineStr">
        <is>
          <t>All RAM actions listed: Action, Source Device, Destination Device, RAM GB, Type, By User, Date</t>
        </is>
      </c>
      <c r="J5" s="11" t="inlineStr"/>
      <c r="K5" s="11" t="inlineStr"/>
      <c r="L5" s="11" t="inlineStr"/>
    </row>
  </sheetData>
  <autoFilter ref="A2:L2"/>
  <mergeCells count="1">
    <mergeCell ref="A1:L1"/>
  </mergeCells>
  <dataValidations count="1">
    <dataValidation sqref="K3 K4 K5" showDropDown="0" showInputMessage="0" showErrorMessage="0" allowBlank="1" type="list">
      <formula1>"Pass,Fail,Blocked,Not Tested,N/A"</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8"/>
  <sheetViews>
    <sheetView showGridLines="0" workbookViewId="0">
      <pane ySplit="2" topLeftCell="A3" activePane="bottomLeft" state="frozen"/>
      <selection pane="bottomLeft" activeCell="A1" sqref="A1"/>
    </sheetView>
  </sheetViews>
  <sheetFormatPr baseColWidth="8" defaultRowHeight="15"/>
  <cols>
    <col width="12" customWidth="1" min="1" max="1"/>
    <col width="18" customWidth="1" min="2" max="2"/>
    <col width="10" customWidth="1" min="3" max="3"/>
    <col width="14" customWidth="1" min="4" max="4"/>
    <col width="35" customWidth="1" min="5" max="5"/>
    <col width="30" customWidth="1" min="6" max="6"/>
    <col width="55" customWidth="1" min="7" max="7"/>
    <col width="35" customWidth="1" min="8" max="8"/>
    <col width="40" customWidth="1" min="9" max="9"/>
    <col width="30" customWidth="1" min="10" max="10"/>
    <col width="12" customWidth="1" min="11" max="11"/>
    <col width="22" customWidth="1" min="12" max="12"/>
  </cols>
  <sheetData>
    <row r="1" ht="32" customHeight="1">
      <c r="A1" s="44" t="inlineStr">
        <is>
          <t>OxyPC UAT — 12 — Bulk Upload</t>
        </is>
      </c>
    </row>
    <row r="2" ht="28" customHeight="1">
      <c r="A2" s="10" t="inlineStr">
        <is>
          <t>TC ID</t>
        </is>
      </c>
      <c r="B2" s="10" t="inlineStr">
        <is>
          <t>Module</t>
        </is>
      </c>
      <c r="C2" s="10" t="inlineStr">
        <is>
          <t>Priority</t>
        </is>
      </c>
      <c r="D2" s="10" t="inlineStr">
        <is>
          <t>Test Type</t>
        </is>
      </c>
      <c r="E2" s="10" t="inlineStr">
        <is>
          <t>Test Scenario</t>
        </is>
      </c>
      <c r="F2" s="10" t="inlineStr">
        <is>
          <t>Pre-Conditions</t>
        </is>
      </c>
      <c r="G2" s="10" t="inlineStr">
        <is>
          <t>Test Steps</t>
        </is>
      </c>
      <c r="H2" s="10" t="inlineStr">
        <is>
          <t>Test Data</t>
        </is>
      </c>
      <c r="I2" s="10" t="inlineStr">
        <is>
          <t>Expected Result</t>
        </is>
      </c>
      <c r="J2" s="10" t="inlineStr">
        <is>
          <t>Actual Result</t>
        </is>
      </c>
      <c r="K2" s="10" t="inlineStr">
        <is>
          <t>Pass / Fail</t>
        </is>
      </c>
      <c r="L2" s="10" t="inlineStr">
        <is>
          <t>Remarks</t>
        </is>
      </c>
    </row>
    <row r="3" ht="55" customHeight="1">
      <c r="A3" s="11" t="inlineStr">
        <is>
          <t>TC-BULK-001</t>
        </is>
      </c>
      <c r="B3" s="11" t="inlineStr">
        <is>
          <t>Bulk Upload</t>
        </is>
      </c>
      <c r="C3" s="15" t="inlineStr">
        <is>
          <t>High</t>
        </is>
      </c>
      <c r="D3" s="11" t="inlineStr">
        <is>
          <t>Positive</t>
        </is>
      </c>
      <c r="E3" s="11" t="inlineStr">
        <is>
          <t>Download lots CSV template</t>
        </is>
      </c>
      <c r="F3" s="11" t="inlineStr">
        <is>
          <t>Admin or Inv. Manager logged in</t>
        </is>
      </c>
      <c r="G3" s="11" t="inlineStr">
        <is>
          <t>1. Go to Bulk Upload
2. Click Download Template — Lots</t>
        </is>
      </c>
      <c r="H3" s="11" t="inlineStr">
        <is>
          <t>Lots template download</t>
        </is>
      </c>
      <c r="I3" s="11" t="inlineStr">
        <is>
          <t>CSV file downloaded with correct headers: lot_number, supplier_name, buying_price, qty, purchase_date, invoice_no, notes</t>
        </is>
      </c>
      <c r="J3" s="11" t="inlineStr"/>
      <c r="K3" s="11" t="inlineStr"/>
      <c r="L3" s="11" t="inlineStr"/>
    </row>
    <row r="4" ht="55" customHeight="1">
      <c r="A4" s="12" t="inlineStr">
        <is>
          <t>TC-BULK-002</t>
        </is>
      </c>
      <c r="B4" s="12" t="inlineStr">
        <is>
          <t>Bulk Upload</t>
        </is>
      </c>
      <c r="C4" s="14" t="inlineStr">
        <is>
          <t>Critical</t>
        </is>
      </c>
      <c r="D4" s="12" t="inlineStr">
        <is>
          <t>Positive</t>
        </is>
      </c>
      <c r="E4" s="12" t="inlineStr">
        <is>
          <t>Upload valid lots CSV</t>
        </is>
      </c>
      <c r="F4" s="12" t="inlineStr">
        <is>
          <t>Valid lots.csv prepared</t>
        </is>
      </c>
      <c r="G4" s="12" t="inlineStr">
        <is>
          <t>1. Go to Bulk Upload
2. Select Lots section
3. Upload valid CSV with 3 new lots
4. Submit</t>
        </is>
      </c>
      <c r="H4" s="12" t="inlineStr">
        <is>
          <t>CSV: 3 rows with valid data; new lot numbers</t>
        </is>
      </c>
      <c r="I4" s="12" t="inlineStr">
        <is>
          <t>3 lots created; success count = 3; error count = 0; lots appear in Lots list</t>
        </is>
      </c>
      <c r="J4" s="12" t="inlineStr"/>
      <c r="K4" s="12" t="inlineStr"/>
      <c r="L4" s="12" t="inlineStr"/>
    </row>
    <row r="5" ht="55" customHeight="1">
      <c r="A5" s="11" t="inlineStr">
        <is>
          <t>TC-BULK-003</t>
        </is>
      </c>
      <c r="B5" s="11" t="inlineStr">
        <is>
          <t>Bulk Upload</t>
        </is>
      </c>
      <c r="C5" s="15" t="inlineStr">
        <is>
          <t>High</t>
        </is>
      </c>
      <c r="D5" s="11" t="inlineStr">
        <is>
          <t>Negative</t>
        </is>
      </c>
      <c r="E5" s="11" t="inlineStr">
        <is>
          <t>Bulk upload with duplicate lot number</t>
        </is>
      </c>
      <c r="F5" s="11" t="inlineStr">
        <is>
          <t>LOT-UAT-001 already exists</t>
        </is>
      </c>
      <c r="G5" s="11" t="inlineStr">
        <is>
          <t>1. Upload CSV containing LOT-UAT-001 (existing) + 2 new lots</t>
        </is>
      </c>
      <c r="H5" s="11" t="inlineStr">
        <is>
          <t>CSV: 1 duplicate + 2 new</t>
        </is>
      </c>
      <c r="I5" s="11" t="inlineStr">
        <is>
          <t>2 new lots created; duplicate row fails with error message; error count = 1</t>
        </is>
      </c>
      <c r="J5" s="11" t="inlineStr"/>
      <c r="K5" s="11" t="inlineStr"/>
      <c r="L5" s="11" t="inlineStr"/>
    </row>
    <row r="6" ht="55" customHeight="1">
      <c r="A6" s="12" t="inlineStr">
        <is>
          <t>TC-BULK-004</t>
        </is>
      </c>
      <c r="B6" s="12" t="inlineStr">
        <is>
          <t>Bulk Upload</t>
        </is>
      </c>
      <c r="C6" s="14" t="inlineStr">
        <is>
          <t>Critical</t>
        </is>
      </c>
      <c r="D6" s="12" t="inlineStr">
        <is>
          <t>Positive</t>
        </is>
      </c>
      <c r="E6" s="12" t="inlineStr">
        <is>
          <t>Upload valid devices CSV</t>
        </is>
      </c>
      <c r="F6" s="12" t="inlineStr">
        <is>
          <t>Lot LOT-UAT-001 exists; valid devices CSV prepared</t>
        </is>
      </c>
      <c r="G6" s="12" t="inlineStr">
        <is>
          <t>1. Go to Bulk Upload → Devices
2. Upload CSV with 5 new device records</t>
        </is>
      </c>
      <c r="H6" s="12" t="inlineStr">
        <is>
          <t>5 device rows with valid barcodes and LOT-UAT-001</t>
        </is>
      </c>
      <c r="I6" s="12" t="inlineStr">
        <is>
          <t>5 devices created at IQC stage; all appear in IQC list</t>
        </is>
      </c>
      <c r="J6" s="12" t="inlineStr"/>
      <c r="K6" s="12" t="inlineStr"/>
      <c r="L6" s="12" t="inlineStr"/>
    </row>
    <row r="7" ht="55" customHeight="1">
      <c r="A7" s="11" t="inlineStr">
        <is>
          <t>TC-BULK-005</t>
        </is>
      </c>
      <c r="B7" s="11" t="inlineStr">
        <is>
          <t>Bulk Upload</t>
        </is>
      </c>
      <c r="C7" s="15" t="inlineStr">
        <is>
          <t>High</t>
        </is>
      </c>
      <c r="D7" s="11" t="inlineStr">
        <is>
          <t>Negative</t>
        </is>
      </c>
      <c r="E7" s="11" t="inlineStr">
        <is>
          <t>Upload devices CSV with non-existent lot</t>
        </is>
      </c>
      <c r="F7" s="11" t="inlineStr"/>
      <c r="G7" s="11" t="inlineStr">
        <is>
          <t>1. Upload devices CSV where lot_number does not exist in system</t>
        </is>
      </c>
      <c r="H7" s="11" t="inlineStr">
        <is>
          <t>lot_number: LOT-DOES-NOT-EXIST</t>
        </is>
      </c>
      <c r="I7" s="11" t="inlineStr">
        <is>
          <t>Rows with invalid lot fail; error report shows 'Lot not found'; valid rows still imported</t>
        </is>
      </c>
      <c r="J7" s="11" t="inlineStr"/>
      <c r="K7" s="11" t="inlineStr"/>
      <c r="L7" s="11" t="inlineStr"/>
    </row>
    <row r="8" ht="55" customHeight="1">
      <c r="A8" s="12" t="inlineStr">
        <is>
          <t>TC-BULK-006</t>
        </is>
      </c>
      <c r="B8" s="12" t="inlineStr">
        <is>
          <t>Bulk Upload</t>
        </is>
      </c>
      <c r="C8" s="15" t="inlineStr">
        <is>
          <t>High</t>
        </is>
      </c>
      <c r="D8" s="12" t="inlineStr">
        <is>
          <t>Positive</t>
        </is>
      </c>
      <c r="E8" s="12" t="inlineStr">
        <is>
          <t>Upload valid spare parts CSV</t>
        </is>
      </c>
      <c r="F8" s="12" t="inlineStr"/>
      <c r="G8" s="12" t="inlineStr">
        <is>
          <t>1. Go to Bulk Upload → Spare Parts
2. Upload CSV with 3 new parts</t>
        </is>
      </c>
      <c r="H8" s="12" t="inlineStr">
        <is>
          <t>3 part rows with unique part codes</t>
        </is>
      </c>
      <c r="I8" s="12" t="inlineStr">
        <is>
          <t>3 parts created; appear in spare parts catalogue</t>
        </is>
      </c>
      <c r="J8" s="12" t="inlineStr"/>
      <c r="K8" s="12" t="inlineStr"/>
      <c r="L8" s="12" t="inlineStr"/>
    </row>
  </sheetData>
  <autoFilter ref="A2:L2"/>
  <mergeCells count="1">
    <mergeCell ref="A1:L1"/>
  </mergeCells>
  <dataValidations count="1">
    <dataValidation sqref="K3 K4 K5 K6 K7 K8" showDropDown="0" showInputMessage="0" showErrorMessage="0" allowBlank="1" type="list">
      <formula1>"Pass,Fail,Blocked,Not Tested,N/A"</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6"/>
  <sheetViews>
    <sheetView showGridLines="0" workbookViewId="0">
      <pane ySplit="2" topLeftCell="A3" activePane="bottomLeft" state="frozen"/>
      <selection pane="bottomLeft" activeCell="A1" sqref="A1"/>
    </sheetView>
  </sheetViews>
  <sheetFormatPr baseColWidth="8" defaultRowHeight="15"/>
  <cols>
    <col width="12" customWidth="1" min="1" max="1"/>
    <col width="18" customWidth="1" min="2" max="2"/>
    <col width="10" customWidth="1" min="3" max="3"/>
    <col width="14" customWidth="1" min="4" max="4"/>
    <col width="35" customWidth="1" min="5" max="5"/>
    <col width="30" customWidth="1" min="6" max="6"/>
    <col width="55" customWidth="1" min="7" max="7"/>
    <col width="35" customWidth="1" min="8" max="8"/>
    <col width="40" customWidth="1" min="9" max="9"/>
    <col width="30" customWidth="1" min="10" max="10"/>
    <col width="12" customWidth="1" min="11" max="11"/>
    <col width="22" customWidth="1" min="12" max="12"/>
  </cols>
  <sheetData>
    <row r="1" ht="32" customHeight="1">
      <c r="A1" s="44" t="inlineStr">
        <is>
          <t>OxyPC UAT — 13 — Master Data</t>
        </is>
      </c>
    </row>
    <row r="2" ht="28" customHeight="1">
      <c r="A2" s="10" t="inlineStr">
        <is>
          <t>TC ID</t>
        </is>
      </c>
      <c r="B2" s="10" t="inlineStr">
        <is>
          <t>Module</t>
        </is>
      </c>
      <c r="C2" s="10" t="inlineStr">
        <is>
          <t>Priority</t>
        </is>
      </c>
      <c r="D2" s="10" t="inlineStr">
        <is>
          <t>Test Type</t>
        </is>
      </c>
      <c r="E2" s="10" t="inlineStr">
        <is>
          <t>Test Scenario</t>
        </is>
      </c>
      <c r="F2" s="10" t="inlineStr">
        <is>
          <t>Pre-Conditions</t>
        </is>
      </c>
      <c r="G2" s="10" t="inlineStr">
        <is>
          <t>Test Steps</t>
        </is>
      </c>
      <c r="H2" s="10" t="inlineStr">
        <is>
          <t>Test Data</t>
        </is>
      </c>
      <c r="I2" s="10" t="inlineStr">
        <is>
          <t>Expected Result</t>
        </is>
      </c>
      <c r="J2" s="10" t="inlineStr">
        <is>
          <t>Actual Result</t>
        </is>
      </c>
      <c r="K2" s="10" t="inlineStr">
        <is>
          <t>Pass / Fail</t>
        </is>
      </c>
      <c r="L2" s="10" t="inlineStr">
        <is>
          <t>Remarks</t>
        </is>
      </c>
    </row>
    <row r="3" ht="55" customHeight="1">
      <c r="A3" s="11" t="inlineStr">
        <is>
          <t>TC-MASTER-001</t>
        </is>
      </c>
      <c r="B3" s="11" t="inlineStr">
        <is>
          <t>Master Data</t>
        </is>
      </c>
      <c r="C3" s="15" t="inlineStr">
        <is>
          <t>High</t>
        </is>
      </c>
      <c r="D3" s="11" t="inlineStr">
        <is>
          <t>Positive</t>
        </is>
      </c>
      <c r="E3" s="11" t="inlineStr">
        <is>
          <t>Add new brand to master data</t>
        </is>
      </c>
      <c r="F3" s="11" t="inlineStr">
        <is>
          <t>Admin logged in</t>
        </is>
      </c>
      <c r="G3" s="11" t="inlineStr">
        <is>
          <t>1. Go to Admin → Master Data
2. Category: brand
3. Value: Samsung
4. Click Add</t>
        </is>
      </c>
      <c r="H3" s="11" t="inlineStr">
        <is>
          <t>Category: brand | Value: Samsung</t>
        </is>
      </c>
      <c r="I3" s="11" t="inlineStr">
        <is>
          <t>Samsung added to brand list; appears in IQC form brand dropdown immediately</t>
        </is>
      </c>
      <c r="J3" s="11" t="inlineStr"/>
      <c r="K3" s="11" t="inlineStr"/>
      <c r="L3" s="11" t="inlineStr"/>
    </row>
    <row r="4" ht="55" customHeight="1">
      <c r="A4" s="12" t="inlineStr">
        <is>
          <t>TC-MASTER-002</t>
        </is>
      </c>
      <c r="B4" s="12" t="inlineStr">
        <is>
          <t>Master Data</t>
        </is>
      </c>
      <c r="C4" s="15" t="inlineStr">
        <is>
          <t>High</t>
        </is>
      </c>
      <c r="D4" s="12" t="inlineStr">
        <is>
          <t>Positive</t>
        </is>
      </c>
      <c r="E4" s="12" t="inlineStr">
        <is>
          <t>Disable a master data value</t>
        </is>
      </c>
      <c r="F4" s="12" t="inlineStr">
        <is>
          <t>Admin logged in; value exists</t>
        </is>
      </c>
      <c r="G4" s="12" t="inlineStr">
        <is>
          <t>1. Go to Master Data
2. Find a value
3. Click Disable (toggle)</t>
        </is>
      </c>
      <c r="H4" s="12" t="inlineStr">
        <is>
          <t>Any active master data value</t>
        </is>
      </c>
      <c r="I4" s="12" t="inlineStr">
        <is>
          <t>Value marked inactive; no longer appears in form dropdowns; still visible in admin with 'disabled' indicator</t>
        </is>
      </c>
      <c r="J4" s="12" t="inlineStr"/>
      <c r="K4" s="12" t="inlineStr"/>
      <c r="L4" s="12" t="inlineStr"/>
    </row>
    <row r="5" ht="55" customHeight="1">
      <c r="A5" s="11" t="inlineStr">
        <is>
          <t>TC-MASTER-003</t>
        </is>
      </c>
      <c r="B5" s="11" t="inlineStr">
        <is>
          <t>Master Data</t>
        </is>
      </c>
      <c r="C5" s="11" t="inlineStr">
        <is>
          <t>Medium</t>
        </is>
      </c>
      <c r="D5" s="11" t="inlineStr">
        <is>
          <t>Positive</t>
        </is>
      </c>
      <c r="E5" s="11" t="inlineStr">
        <is>
          <t>Delete a master data value</t>
        </is>
      </c>
      <c r="F5" s="11" t="inlineStr">
        <is>
          <t>Admin logged in; value exists and is not in use</t>
        </is>
      </c>
      <c r="G5" s="11" t="inlineStr">
        <is>
          <t>1. Go to Master Data
2. Click Delete on an unused value
3. Confirm</t>
        </is>
      </c>
      <c r="H5" s="11" t="inlineStr">
        <is>
          <t>Unused master data value</t>
        </is>
      </c>
      <c r="I5" s="11" t="inlineStr">
        <is>
          <t>Value permanently removed from master data table</t>
        </is>
      </c>
      <c r="J5" s="11" t="inlineStr"/>
      <c r="K5" s="11" t="inlineStr"/>
      <c r="L5" s="11" t="inlineStr"/>
    </row>
    <row r="6" ht="55" customHeight="1">
      <c r="A6" s="12" t="inlineStr">
        <is>
          <t>TC-MASTER-004</t>
        </is>
      </c>
      <c r="B6" s="12" t="inlineStr">
        <is>
          <t>Master Data</t>
        </is>
      </c>
      <c r="C6" s="12" t="inlineStr">
        <is>
          <t>Medium</t>
        </is>
      </c>
      <c r="D6" s="12" t="inlineStr">
        <is>
          <t>Negative</t>
        </is>
      </c>
      <c r="E6" s="12" t="inlineStr">
        <is>
          <t>Duplicate master data value rejected</t>
        </is>
      </c>
      <c r="F6" s="12" t="inlineStr">
        <is>
          <t>Brand 'HP' already exists</t>
        </is>
      </c>
      <c r="G6" s="12" t="inlineStr">
        <is>
          <t>1. Go to Master Data
2. Add brand: HP</t>
        </is>
      </c>
      <c r="H6" s="12" t="inlineStr">
        <is>
          <t>Category: brand | Value: HP (duplicate)</t>
        </is>
      </c>
      <c r="I6" s="12" t="inlineStr">
        <is>
          <t>Error shown: 'Value already exists in this category'; not added</t>
        </is>
      </c>
      <c r="J6" s="12" t="inlineStr"/>
      <c r="K6" s="12" t="inlineStr"/>
      <c r="L6" s="12" t="inlineStr"/>
    </row>
  </sheetData>
  <autoFilter ref="A2:L2"/>
  <mergeCells count="1">
    <mergeCell ref="A1:L1"/>
  </mergeCells>
  <dataValidations count="1">
    <dataValidation sqref="K3 K4 K5 K6" showDropDown="0" showInputMessage="0" showErrorMessage="0" allowBlank="1" type="list">
      <formula1>"Pass,Fail,Blocked,Not Tested,N/A"</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7"/>
  <sheetViews>
    <sheetView showGridLines="0" workbookViewId="0">
      <pane ySplit="2" topLeftCell="A3" activePane="bottomLeft" state="frozen"/>
      <selection pane="bottomLeft" activeCell="A1" sqref="A1"/>
    </sheetView>
  </sheetViews>
  <sheetFormatPr baseColWidth="8" defaultRowHeight="15"/>
  <cols>
    <col width="12" customWidth="1" min="1" max="1"/>
    <col width="18" customWidth="1" min="2" max="2"/>
    <col width="10" customWidth="1" min="3" max="3"/>
    <col width="14" customWidth="1" min="4" max="4"/>
    <col width="35" customWidth="1" min="5" max="5"/>
    <col width="30" customWidth="1" min="6" max="6"/>
    <col width="55" customWidth="1" min="7" max="7"/>
    <col width="35" customWidth="1" min="8" max="8"/>
    <col width="40" customWidth="1" min="9" max="9"/>
    <col width="30" customWidth="1" min="10" max="10"/>
    <col width="12" customWidth="1" min="11" max="11"/>
    <col width="22" customWidth="1" min="12" max="12"/>
  </cols>
  <sheetData>
    <row r="1" ht="32" customHeight="1">
      <c r="A1" s="44" t="inlineStr">
        <is>
          <t>OxyPC UAT — 14 — Admin</t>
        </is>
      </c>
    </row>
    <row r="2" ht="28" customHeight="1">
      <c r="A2" s="10" t="inlineStr">
        <is>
          <t>TC ID</t>
        </is>
      </c>
      <c r="B2" s="10" t="inlineStr">
        <is>
          <t>Module</t>
        </is>
      </c>
      <c r="C2" s="10" t="inlineStr">
        <is>
          <t>Priority</t>
        </is>
      </c>
      <c r="D2" s="10" t="inlineStr">
        <is>
          <t>Test Type</t>
        </is>
      </c>
      <c r="E2" s="10" t="inlineStr">
        <is>
          <t>Test Scenario</t>
        </is>
      </c>
      <c r="F2" s="10" t="inlineStr">
        <is>
          <t>Pre-Conditions</t>
        </is>
      </c>
      <c r="G2" s="10" t="inlineStr">
        <is>
          <t>Test Steps</t>
        </is>
      </c>
      <c r="H2" s="10" t="inlineStr">
        <is>
          <t>Test Data</t>
        </is>
      </c>
      <c r="I2" s="10" t="inlineStr">
        <is>
          <t>Expected Result</t>
        </is>
      </c>
      <c r="J2" s="10" t="inlineStr">
        <is>
          <t>Actual Result</t>
        </is>
      </c>
      <c r="K2" s="10" t="inlineStr">
        <is>
          <t>Pass / Fail</t>
        </is>
      </c>
      <c r="L2" s="10" t="inlineStr">
        <is>
          <t>Remarks</t>
        </is>
      </c>
    </row>
    <row r="3" ht="55" customHeight="1">
      <c r="A3" s="11" t="inlineStr">
        <is>
          <t>TC-ADMIN-001</t>
        </is>
      </c>
      <c r="B3" s="11" t="inlineStr">
        <is>
          <t>Admin / Users</t>
        </is>
      </c>
      <c r="C3" s="14" t="inlineStr">
        <is>
          <t>Critical</t>
        </is>
      </c>
      <c r="D3" s="11" t="inlineStr">
        <is>
          <t>Positive</t>
        </is>
      </c>
      <c r="E3" s="11" t="inlineStr">
        <is>
          <t>Create new user</t>
        </is>
      </c>
      <c r="F3" s="11" t="inlineStr">
        <is>
          <t>Admin logged in</t>
        </is>
      </c>
      <c r="G3" s="11" t="inlineStr">
        <is>
          <t>1. Go to Admin → Users → New User
2. Fill all fields
3. Save</t>
        </is>
      </c>
      <c r="H3" s="11" t="inlineStr">
        <is>
          <t>Username: testeng | Full Name: Test Engineer | Role: l1_engineer | Password: Test@5678</t>
        </is>
      </c>
      <c r="I3" s="11" t="inlineStr">
        <is>
          <t>User created; appears in user list; can login with new credentials</t>
        </is>
      </c>
      <c r="J3" s="11" t="inlineStr"/>
      <c r="K3" s="11" t="inlineStr"/>
      <c r="L3" s="11" t="inlineStr"/>
    </row>
    <row r="4" ht="55" customHeight="1">
      <c r="A4" s="12" t="inlineStr">
        <is>
          <t>TC-ADMIN-002</t>
        </is>
      </c>
      <c r="B4" s="12" t="inlineStr">
        <is>
          <t>Admin / Users</t>
        </is>
      </c>
      <c r="C4" s="15" t="inlineStr">
        <is>
          <t>High</t>
        </is>
      </c>
      <c r="D4" s="12" t="inlineStr">
        <is>
          <t>Positive</t>
        </is>
      </c>
      <c r="E4" s="12" t="inlineStr">
        <is>
          <t>Edit user role</t>
        </is>
      </c>
      <c r="F4" s="12" t="inlineStr">
        <is>
          <t>Admin logged in; user testeng exists</t>
        </is>
      </c>
      <c r="G4" s="12" t="inlineStr">
        <is>
          <t>1. Go to Admin → Users
2. Edit testeng
3. Change role to l2_engineer
4. Save</t>
        </is>
      </c>
      <c r="H4" s="12" t="inlineStr">
        <is>
          <t>New role: l2_engineer</t>
        </is>
      </c>
      <c r="I4" s="12" t="inlineStr">
        <is>
          <t>Role updated; user now has l2 access; old l1 routes denied</t>
        </is>
      </c>
      <c r="J4" s="12" t="inlineStr"/>
      <c r="K4" s="12" t="inlineStr"/>
      <c r="L4" s="12" t="inlineStr"/>
    </row>
    <row r="5" ht="55" customHeight="1">
      <c r="A5" s="11" t="inlineStr">
        <is>
          <t>TC-ADMIN-003</t>
        </is>
      </c>
      <c r="B5" s="11" t="inlineStr">
        <is>
          <t>Admin / Users</t>
        </is>
      </c>
      <c r="C5" s="15" t="inlineStr">
        <is>
          <t>High</t>
        </is>
      </c>
      <c r="D5" s="11" t="inlineStr">
        <is>
          <t>Positive</t>
        </is>
      </c>
      <c r="E5" s="11" t="inlineStr">
        <is>
          <t>Deactivate user</t>
        </is>
      </c>
      <c r="F5" s="11" t="inlineStr">
        <is>
          <t>Admin logged in; user testeng active</t>
        </is>
      </c>
      <c r="G5" s="11" t="inlineStr">
        <is>
          <t>1. Go to Admin → Users
2. Deactivate testeng</t>
        </is>
      </c>
      <c r="H5" s="11" t="inlineStr">
        <is>
          <t>User: testeng</t>
        </is>
      </c>
      <c r="I5" s="11" t="inlineStr">
        <is>
          <t>User status = inactive; testeng cannot login; marked as inactive in user list</t>
        </is>
      </c>
      <c r="J5" s="11" t="inlineStr"/>
      <c r="K5" s="11" t="inlineStr"/>
      <c r="L5" s="11" t="inlineStr"/>
    </row>
    <row r="6" ht="55" customHeight="1">
      <c r="A6" s="12" t="inlineStr">
        <is>
          <t>TC-ADMIN-004</t>
        </is>
      </c>
      <c r="B6" s="12" t="inlineStr">
        <is>
          <t>Admin / Users</t>
        </is>
      </c>
      <c r="C6" s="15" t="inlineStr">
        <is>
          <t>High</t>
        </is>
      </c>
      <c r="D6" s="12" t="inlineStr">
        <is>
          <t>Positive</t>
        </is>
      </c>
      <c r="E6" s="12" t="inlineStr">
        <is>
          <t>Reactivate user</t>
        </is>
      </c>
      <c r="F6" s="12" t="inlineStr">
        <is>
          <t>User testeng is inactive</t>
        </is>
      </c>
      <c r="G6" s="12" t="inlineStr">
        <is>
          <t>1. Go to Admin → Users
2. Re-activate testeng</t>
        </is>
      </c>
      <c r="H6" s="12" t="inlineStr">
        <is>
          <t>User: testeng (inactive)</t>
        </is>
      </c>
      <c r="I6" s="12" t="inlineStr">
        <is>
          <t>User status = active; testeng can login again</t>
        </is>
      </c>
      <c r="J6" s="12" t="inlineStr"/>
      <c r="K6" s="12" t="inlineStr"/>
      <c r="L6" s="12" t="inlineStr"/>
    </row>
    <row r="7" ht="55" customHeight="1">
      <c r="A7" s="11" t="inlineStr">
        <is>
          <t>TC-ADMIN-005</t>
        </is>
      </c>
      <c r="B7" s="11" t="inlineStr">
        <is>
          <t>Admin / Users</t>
        </is>
      </c>
      <c r="C7" s="11" t="inlineStr">
        <is>
          <t>Medium</t>
        </is>
      </c>
      <c r="D7" s="11" t="inlineStr">
        <is>
          <t>Positive</t>
        </is>
      </c>
      <c r="E7" s="11" t="inlineStr">
        <is>
          <t>Login audit log records events</t>
        </is>
      </c>
      <c r="F7" s="11" t="inlineStr">
        <is>
          <t>Any user logs in and out</t>
        </is>
      </c>
      <c r="G7" s="11" t="inlineStr">
        <is>
          <t>1. Login as salesexec
2. Logout
3. Admin checks login logs</t>
        </is>
      </c>
      <c r="H7" s="11" t="inlineStr">
        <is>
          <t>user: salesexec</t>
        </is>
      </c>
      <c r="I7" s="11" t="inlineStr">
        <is>
          <t>Login and logout events recorded with: username, action, IP address, timestamp</t>
        </is>
      </c>
      <c r="J7" s="11" t="inlineStr"/>
      <c r="K7" s="11" t="inlineStr"/>
      <c r="L7" s="11" t="inlineStr"/>
    </row>
  </sheetData>
  <autoFilter ref="A2:L2"/>
  <mergeCells count="1">
    <mergeCell ref="A1:L1"/>
  </mergeCells>
  <dataValidations count="1">
    <dataValidation sqref="K3 K4 K5 K6 K7" showDropDown="0" showInputMessage="0" showErrorMessage="0" allowBlank="1" type="list">
      <formula1>"Pass,Fail,Blocked,Not Tested,N/A"</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L6"/>
  <sheetViews>
    <sheetView showGridLines="0" workbookViewId="0">
      <pane ySplit="2" topLeftCell="A3" activePane="bottomLeft" state="frozen"/>
      <selection pane="bottomLeft" activeCell="A1" sqref="A1"/>
    </sheetView>
  </sheetViews>
  <sheetFormatPr baseColWidth="8" defaultRowHeight="15"/>
  <cols>
    <col width="12" customWidth="1" min="1" max="1"/>
    <col width="18" customWidth="1" min="2" max="2"/>
    <col width="10" customWidth="1" min="3" max="3"/>
    <col width="14" customWidth="1" min="4" max="4"/>
    <col width="35" customWidth="1" min="5" max="5"/>
    <col width="30" customWidth="1" min="6" max="6"/>
    <col width="55" customWidth="1" min="7" max="7"/>
    <col width="35" customWidth="1" min="8" max="8"/>
    <col width="40" customWidth="1" min="9" max="9"/>
    <col width="30" customWidth="1" min="10" max="10"/>
    <col width="12" customWidth="1" min="11" max="11"/>
    <col width="22" customWidth="1" min="12" max="12"/>
  </cols>
  <sheetData>
    <row r="1" ht="32" customHeight="1">
      <c r="A1" s="44" t="inlineStr">
        <is>
          <t>OxyPC UAT — 15 — Reports</t>
        </is>
      </c>
    </row>
    <row r="2" ht="28" customHeight="1">
      <c r="A2" s="10" t="inlineStr">
        <is>
          <t>TC ID</t>
        </is>
      </c>
      <c r="B2" s="10" t="inlineStr">
        <is>
          <t>Module</t>
        </is>
      </c>
      <c r="C2" s="10" t="inlineStr">
        <is>
          <t>Priority</t>
        </is>
      </c>
      <c r="D2" s="10" t="inlineStr">
        <is>
          <t>Test Type</t>
        </is>
      </c>
      <c r="E2" s="10" t="inlineStr">
        <is>
          <t>Test Scenario</t>
        </is>
      </c>
      <c r="F2" s="10" t="inlineStr">
        <is>
          <t>Pre-Conditions</t>
        </is>
      </c>
      <c r="G2" s="10" t="inlineStr">
        <is>
          <t>Test Steps</t>
        </is>
      </c>
      <c r="H2" s="10" t="inlineStr">
        <is>
          <t>Test Data</t>
        </is>
      </c>
      <c r="I2" s="10" t="inlineStr">
        <is>
          <t>Expected Result</t>
        </is>
      </c>
      <c r="J2" s="10" t="inlineStr">
        <is>
          <t>Actual Result</t>
        </is>
      </c>
      <c r="K2" s="10" t="inlineStr">
        <is>
          <t>Pass / Fail</t>
        </is>
      </c>
      <c r="L2" s="10" t="inlineStr">
        <is>
          <t>Remarks</t>
        </is>
      </c>
    </row>
    <row r="3" ht="55" customHeight="1">
      <c r="A3" s="11" t="inlineStr">
        <is>
          <t>TC-RPT-001</t>
        </is>
      </c>
      <c r="B3" s="11" t="inlineStr">
        <is>
          <t>Reports &amp; Export</t>
        </is>
      </c>
      <c r="C3" s="15" t="inlineStr">
        <is>
          <t>High</t>
        </is>
      </c>
      <c r="D3" s="11" t="inlineStr">
        <is>
          <t>Positive</t>
        </is>
      </c>
      <c r="E3" s="11" t="inlineStr">
        <is>
          <t>Export devices CSV</t>
        </is>
      </c>
      <c r="F3" s="11" t="inlineStr">
        <is>
          <t>Devices exist in system</t>
        </is>
      </c>
      <c r="G3" s="11" t="inlineStr">
        <is>
          <t>1. Go to Reports
2. Click Export Devices CSV</t>
        </is>
      </c>
      <c r="H3" s="11" t="inlineStr">
        <is>
          <t>All devices in system</t>
        </is>
      </c>
      <c r="I3" s="11" t="inlineStr">
        <is>
          <t>CSV downloaded with columns: Barcode, Lot, Brand, Model, CPU, RAM, Storage, Grade, Stage, Floor</t>
        </is>
      </c>
      <c r="J3" s="11" t="inlineStr"/>
      <c r="K3" s="11" t="inlineStr"/>
      <c r="L3" s="11" t="inlineStr"/>
    </row>
    <row r="4" ht="55" customHeight="1">
      <c r="A4" s="12" t="inlineStr">
        <is>
          <t>TC-RPT-002</t>
        </is>
      </c>
      <c r="B4" s="12" t="inlineStr">
        <is>
          <t>Reports &amp; Export</t>
        </is>
      </c>
      <c r="C4" s="15" t="inlineStr">
        <is>
          <t>High</t>
        </is>
      </c>
      <c r="D4" s="12" t="inlineStr">
        <is>
          <t>Positive</t>
        </is>
      </c>
      <c r="E4" s="12" t="inlineStr">
        <is>
          <t>Export sales CSV</t>
        </is>
      </c>
      <c r="F4" s="12" t="inlineStr">
        <is>
          <t>Sales records exist</t>
        </is>
      </c>
      <c r="G4" s="12" t="inlineStr">
        <is>
          <t>1. Go to Reports
2. Export Sales CSV</t>
        </is>
      </c>
      <c r="H4" s="12" t="inlineStr">
        <is>
          <t>Seeded 25 sales</t>
        </is>
      </c>
      <c r="I4" s="12" t="inlineStr">
        <is>
          <t>CSV with: Sale#, Barcode, Customer, Phone, Sale Price, Payment Mode, Date, Sold By</t>
        </is>
      </c>
      <c r="J4" s="12" t="inlineStr"/>
      <c r="K4" s="12" t="inlineStr"/>
      <c r="L4" s="12" t="inlineStr"/>
    </row>
    <row r="5" ht="55" customHeight="1">
      <c r="A5" s="11" t="inlineStr">
        <is>
          <t>TC-RPT-003</t>
        </is>
      </c>
      <c r="B5" s="11" t="inlineStr">
        <is>
          <t>Reports &amp; Export</t>
        </is>
      </c>
      <c r="C5" s="15" t="inlineStr">
        <is>
          <t>High</t>
        </is>
      </c>
      <c r="D5" s="11" t="inlineStr">
        <is>
          <t>Positive</t>
        </is>
      </c>
      <c r="E5" s="11" t="inlineStr">
        <is>
          <t>Export spare parts consumption CSV</t>
        </is>
      </c>
      <c r="F5" s="11" t="inlineStr">
        <is>
          <t>Consumption records exist</t>
        </is>
      </c>
      <c r="G5" s="11" t="inlineStr">
        <is>
          <t>1. Go to Reports
2. Export Consumption CSV</t>
        </is>
      </c>
      <c r="H5" s="11" t="inlineStr">
        <is>
          <t>Seeded consumption data</t>
        </is>
      </c>
      <c r="I5" s="11" t="inlineStr">
        <is>
          <t>CSV with: Device, Part, Category, Qty, Unit Cost, Total Cost, Stage, Used By, Date</t>
        </is>
      </c>
      <c r="J5" s="11" t="inlineStr"/>
      <c r="K5" s="11" t="inlineStr"/>
      <c r="L5" s="11" t="inlineStr"/>
    </row>
    <row r="6" ht="55" customHeight="1">
      <c r="A6" s="12" t="inlineStr">
        <is>
          <t>TC-RPT-004</t>
        </is>
      </c>
      <c r="B6" s="12" t="inlineStr">
        <is>
          <t>Reports &amp; Export</t>
        </is>
      </c>
      <c r="C6" s="12" t="inlineStr">
        <is>
          <t>Medium</t>
        </is>
      </c>
      <c r="D6" s="12" t="inlineStr">
        <is>
          <t>Positive</t>
        </is>
      </c>
      <c r="E6" s="12" t="inlineStr">
        <is>
          <t>Export stage movements CSV</t>
        </is>
      </c>
      <c r="F6" s="12" t="inlineStr">
        <is>
          <t>Stage movements exist</t>
        </is>
      </c>
      <c r="G6" s="12" t="inlineStr">
        <is>
          <t>1. Go to Reports
2. Export Movements CSV</t>
        </is>
      </c>
      <c r="H6" s="12" t="inlineStr">
        <is>
          <t>Stage movements audit trail</t>
        </is>
      </c>
      <c r="I6" s="12" t="inlineStr">
        <is>
          <t>CSV with: Device, From Stage, To Stage, Moved By, Moved At, Notes</t>
        </is>
      </c>
      <c r="J6" s="12" t="inlineStr"/>
      <c r="K6" s="12" t="inlineStr"/>
      <c r="L6" s="12" t="inlineStr"/>
    </row>
  </sheetData>
  <autoFilter ref="A2:L2"/>
  <mergeCells count="1">
    <mergeCell ref="A1:L1"/>
  </mergeCells>
  <dataValidations count="1">
    <dataValidation sqref="K3 K4 K5 K6" showDropDown="0" showInputMessage="0" showErrorMessage="0" allowBlank="1" type="list">
      <formula1>"Pass,Fail,Blocked,Not Tested,N/A"</formula1>
    </dataValidation>
  </dataValidation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L7"/>
  <sheetViews>
    <sheetView showGridLines="0" workbookViewId="0">
      <pane ySplit="2" topLeftCell="A3" activePane="bottomLeft" state="frozen"/>
      <selection pane="bottomLeft" activeCell="A1" sqref="A1"/>
    </sheetView>
  </sheetViews>
  <sheetFormatPr baseColWidth="8" defaultRowHeight="15"/>
  <cols>
    <col width="12" customWidth="1" min="1" max="1"/>
    <col width="18" customWidth="1" min="2" max="2"/>
    <col width="10" customWidth="1" min="3" max="3"/>
    <col width="14" customWidth="1" min="4" max="4"/>
    <col width="35" customWidth="1" min="5" max="5"/>
    <col width="30" customWidth="1" min="6" max="6"/>
    <col width="55" customWidth="1" min="7" max="7"/>
    <col width="35" customWidth="1" min="8" max="8"/>
    <col width="40" customWidth="1" min="9" max="9"/>
    <col width="30" customWidth="1" min="10" max="10"/>
    <col width="12" customWidth="1" min="11" max="11"/>
    <col width="22" customWidth="1" min="12" max="12"/>
  </cols>
  <sheetData>
    <row r="1" ht="32" customHeight="1">
      <c r="A1" s="44" t="inlineStr">
        <is>
          <t>OxyPC UAT — 16 — Security</t>
        </is>
      </c>
    </row>
    <row r="2" ht="28" customHeight="1">
      <c r="A2" s="10" t="inlineStr">
        <is>
          <t>TC ID</t>
        </is>
      </c>
      <c r="B2" s="10" t="inlineStr">
        <is>
          <t>Module</t>
        </is>
      </c>
      <c r="C2" s="10" t="inlineStr">
        <is>
          <t>Priority</t>
        </is>
      </c>
      <c r="D2" s="10" t="inlineStr">
        <is>
          <t>Test Type</t>
        </is>
      </c>
      <c r="E2" s="10" t="inlineStr">
        <is>
          <t>Test Scenario</t>
        </is>
      </c>
      <c r="F2" s="10" t="inlineStr">
        <is>
          <t>Pre-Conditions</t>
        </is>
      </c>
      <c r="G2" s="10" t="inlineStr">
        <is>
          <t>Test Steps</t>
        </is>
      </c>
      <c r="H2" s="10" t="inlineStr">
        <is>
          <t>Test Data</t>
        </is>
      </c>
      <c r="I2" s="10" t="inlineStr">
        <is>
          <t>Expected Result</t>
        </is>
      </c>
      <c r="J2" s="10" t="inlineStr">
        <is>
          <t>Actual Result</t>
        </is>
      </c>
      <c r="K2" s="10" t="inlineStr">
        <is>
          <t>Pass / Fail</t>
        </is>
      </c>
      <c r="L2" s="10" t="inlineStr">
        <is>
          <t>Remarks</t>
        </is>
      </c>
    </row>
    <row r="3" ht="55" customHeight="1">
      <c r="A3" s="11" t="inlineStr">
        <is>
          <t>TC-SEC-001</t>
        </is>
      </c>
      <c r="B3" s="11" t="inlineStr">
        <is>
          <t>Security &amp; Access</t>
        </is>
      </c>
      <c r="C3" s="14" t="inlineStr">
        <is>
          <t>Critical</t>
        </is>
      </c>
      <c r="D3" s="11" t="inlineStr">
        <is>
          <t>Security</t>
        </is>
      </c>
      <c r="E3" s="11" t="inlineStr">
        <is>
          <t>Direct URL access without authentication</t>
        </is>
      </c>
      <c r="F3" s="11" t="inlineStr">
        <is>
          <t>Not logged in</t>
        </is>
      </c>
      <c r="G3" s="11" t="inlineStr">
        <is>
          <t>1. Close browser
2. Navigate directly to http://&lt;server&gt;/dashboard
3. Observe redirect</t>
        </is>
      </c>
      <c r="H3" s="11" t="inlineStr">
        <is>
          <t>No session cookie</t>
        </is>
      </c>
      <c r="I3" s="11" t="inlineStr">
        <is>
          <t>Redirected to login page; cannot access any protected page without authentication</t>
        </is>
      </c>
      <c r="J3" s="11" t="inlineStr"/>
      <c r="K3" s="11" t="inlineStr"/>
      <c r="L3" s="11" t="inlineStr"/>
    </row>
    <row r="4" ht="55" customHeight="1">
      <c r="A4" s="12" t="inlineStr">
        <is>
          <t>TC-SEC-002</t>
        </is>
      </c>
      <c r="B4" s="12" t="inlineStr">
        <is>
          <t>Security &amp; Access</t>
        </is>
      </c>
      <c r="C4" s="14" t="inlineStr">
        <is>
          <t>Critical</t>
        </is>
      </c>
      <c r="D4" s="12" t="inlineStr">
        <is>
          <t>Security</t>
        </is>
      </c>
      <c r="E4" s="12" t="inlineStr">
        <is>
          <t>L1 engineer cannot access Sales module</t>
        </is>
      </c>
      <c r="F4" s="12" t="inlineStr">
        <is>
          <t>L1 Engineer logged in</t>
        </is>
      </c>
      <c r="G4" s="12" t="inlineStr">
        <is>
          <t>1. Login as l1eng
2. Navigate to /sales</t>
        </is>
      </c>
      <c r="H4" s="12" t="inlineStr">
        <is>
          <t>user: l1eng | pwd: Test@1234</t>
        </is>
      </c>
      <c r="I4" s="12" t="inlineStr">
        <is>
          <t>403 error or redirect; /sales page not accessible to L1 engineer</t>
        </is>
      </c>
      <c r="J4" s="12" t="inlineStr"/>
      <c r="K4" s="12" t="inlineStr"/>
      <c r="L4" s="12" t="inlineStr"/>
    </row>
    <row r="5" ht="55" customHeight="1">
      <c r="A5" s="11" t="inlineStr">
        <is>
          <t>TC-SEC-003</t>
        </is>
      </c>
      <c r="B5" s="11" t="inlineStr">
        <is>
          <t>Security &amp; Access</t>
        </is>
      </c>
      <c r="C5" s="15" t="inlineStr">
        <is>
          <t>High</t>
        </is>
      </c>
      <c r="D5" s="11" t="inlineStr">
        <is>
          <t>Security</t>
        </is>
      </c>
      <c r="E5" s="11" t="inlineStr">
        <is>
          <t>Spare Parts Manager cannot access Admin</t>
        </is>
      </c>
      <c r="F5" s="11" t="inlineStr">
        <is>
          <t>Spare Parts Manager logged in</t>
        </is>
      </c>
      <c r="G5" s="11" t="inlineStr">
        <is>
          <t>1. Login as spares1
2. Navigate to /admin</t>
        </is>
      </c>
      <c r="H5" s="11" t="inlineStr">
        <is>
          <t>user: spares1 | pwd: Test@1234</t>
        </is>
      </c>
      <c r="I5" s="11" t="inlineStr">
        <is>
          <t>403 error or redirect; Admin page not accessible</t>
        </is>
      </c>
      <c r="J5" s="11" t="inlineStr"/>
      <c r="K5" s="11" t="inlineStr"/>
      <c r="L5" s="11" t="inlineStr"/>
    </row>
    <row r="6" ht="55" customHeight="1">
      <c r="A6" s="12" t="inlineStr">
        <is>
          <t>TC-SEC-004</t>
        </is>
      </c>
      <c r="B6" s="12" t="inlineStr">
        <is>
          <t>Security &amp; Access</t>
        </is>
      </c>
      <c r="C6" s="15" t="inlineStr">
        <is>
          <t>High</t>
        </is>
      </c>
      <c r="D6" s="12" t="inlineStr">
        <is>
          <t>Security</t>
        </is>
      </c>
      <c r="E6" s="12" t="inlineStr">
        <is>
          <t>Sales user cannot create lots</t>
        </is>
      </c>
      <c r="F6" s="12" t="inlineStr">
        <is>
          <t>Sales user logged in</t>
        </is>
      </c>
      <c r="G6" s="12" t="inlineStr">
        <is>
          <t>1. Login as salesexec
2. Navigate to /lots/new</t>
        </is>
      </c>
      <c r="H6" s="12" t="inlineStr">
        <is>
          <t>user: salesexec | pwd: Test@1234</t>
        </is>
      </c>
      <c r="I6" s="12" t="inlineStr">
        <is>
          <t>403 error; Sales user cannot create or view lots</t>
        </is>
      </c>
      <c r="J6" s="12" t="inlineStr"/>
      <c r="K6" s="12" t="inlineStr"/>
      <c r="L6" s="12" t="inlineStr"/>
    </row>
    <row r="7" ht="55" customHeight="1">
      <c r="A7" s="11" t="inlineStr">
        <is>
          <t>TC-SEC-005</t>
        </is>
      </c>
      <c r="B7" s="11" t="inlineStr">
        <is>
          <t>Security &amp; Access</t>
        </is>
      </c>
      <c r="C7" s="11" t="inlineStr">
        <is>
          <t>Medium</t>
        </is>
      </c>
      <c r="D7" s="11" t="inlineStr">
        <is>
          <t>Security</t>
        </is>
      </c>
      <c r="E7" s="11" t="inlineStr">
        <is>
          <t>Session expires after inactivity</t>
        </is>
      </c>
      <c r="F7" s="11" t="inlineStr">
        <is>
          <t>User logged in</t>
        </is>
      </c>
      <c r="G7" s="11" t="inlineStr">
        <is>
          <t>1. Login
2. Wait 20 minutes without activity
3. Try to access a page</t>
        </is>
      </c>
      <c r="H7" s="11" t="inlineStr">
        <is>
          <t>JWT access token expires after 15 min</t>
        </is>
      </c>
      <c r="I7" s="11" t="inlineStr">
        <is>
          <t>Either auto-refreshed via refresh token, or redirected to login</t>
        </is>
      </c>
      <c r="J7" s="11" t="inlineStr"/>
      <c r="K7" s="11" t="inlineStr"/>
      <c r="L7" s="11" t="inlineStr"/>
    </row>
  </sheetData>
  <autoFilter ref="A2:L2"/>
  <mergeCells count="1">
    <mergeCell ref="A1:L1"/>
  </mergeCells>
  <dataValidations count="1">
    <dataValidation sqref="K3 K4 K5 K6 K7" showDropDown="0" showInputMessage="0" showErrorMessage="0" allowBlank="1" type="list">
      <formula1>"Pass,Fail,Blocked,Not Tested,N/A"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2026-03-20T16:46:40Z</dcterms:created>
  <dcterms:modified xmlns:dcterms="http://purl.org/dc/terms/" xmlns:xsi="http://www.w3.org/2001/XMLSchema-instance" xsi:type="dcterms:W3CDTF">2026-03-20T16:46:41Z</dcterms:modified>
</cp:coreProperties>
</file>